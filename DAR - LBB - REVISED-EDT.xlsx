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KOLWEZI EXPENSES\"/>
    </mc:Choice>
  </mc:AlternateContent>
  <bookViews>
    <workbookView xWindow="0" yWindow="0" windowWidth="23040" windowHeight="9252" activeTab="7"/>
  </bookViews>
  <sheets>
    <sheet name="T980EPE " sheetId="1" r:id="rId1"/>
    <sheet name="FUEL " sheetId="3" r:id="rId2"/>
    <sheet name="T312 EMD " sheetId="4" r:id="rId3"/>
    <sheet name="T265 EMD " sheetId="5" r:id="rId4"/>
    <sheet name="T262 EMD " sheetId="6" r:id="rId5"/>
    <sheet name="T310 EMD " sheetId="7" r:id="rId6"/>
    <sheet name="Seekers &amp; korridor " sheetId="8" r:id="rId7"/>
    <sheet name="990 DISTRIBITION " sheetId="9" r:id="rId8"/>
  </sheets>
  <definedNames>
    <definedName name="_xlnm.Print_Area" localSheetId="4">'T262 EMD '!$A$1:$G$97</definedName>
    <definedName name="_xlnm.Print_Area" localSheetId="3">'T265 EMD '!$A$1:$G$96</definedName>
    <definedName name="_xlnm.Print_Area" localSheetId="2">'T312 EMD '!$A$1:$G$97</definedName>
    <definedName name="_xlnm.Print_Area" localSheetId="0">'T980EPE '!$A$1:$G$98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9" l="1"/>
  <c r="H75" i="8" l="1"/>
  <c r="H68" i="8"/>
  <c r="I71" i="8"/>
  <c r="I65" i="8"/>
  <c r="H64" i="8"/>
  <c r="E61" i="8"/>
  <c r="G61" i="8" s="1"/>
  <c r="E60" i="8"/>
  <c r="G60" i="8" s="1"/>
  <c r="E59" i="8"/>
  <c r="G59" i="8" s="1"/>
  <c r="E58" i="8"/>
  <c r="G58" i="8" s="1"/>
  <c r="E57" i="8"/>
  <c r="G57" i="8" s="1"/>
  <c r="E56" i="8"/>
  <c r="G56" i="8" s="1"/>
  <c r="E55" i="8"/>
  <c r="G55" i="8" s="1"/>
  <c r="E54" i="8"/>
  <c r="G54" i="8" s="1"/>
  <c r="E53" i="8"/>
  <c r="G53" i="8" s="1"/>
  <c r="E52" i="8"/>
  <c r="G52" i="8" s="1"/>
  <c r="E51" i="8"/>
  <c r="G51" i="8" s="1"/>
  <c r="G50" i="8"/>
  <c r="E49" i="8"/>
  <c r="G49" i="8" s="1"/>
  <c r="E48" i="8"/>
  <c r="G48" i="8" s="1"/>
  <c r="E47" i="8"/>
  <c r="G47" i="8" s="1"/>
  <c r="E46" i="8"/>
  <c r="G46" i="8" s="1"/>
  <c r="E45" i="8"/>
  <c r="G45" i="8" s="1"/>
  <c r="E44" i="8"/>
  <c r="G44" i="8" s="1"/>
  <c r="E43" i="8"/>
  <c r="G43" i="8" s="1"/>
  <c r="E42" i="8"/>
  <c r="G42" i="8" s="1"/>
  <c r="E41" i="8"/>
  <c r="G41" i="8" s="1"/>
  <c r="E40" i="8"/>
  <c r="G40" i="8" s="1"/>
  <c r="G39" i="8"/>
  <c r="E38" i="8"/>
  <c r="G38" i="8" s="1"/>
  <c r="G37" i="8"/>
  <c r="E36" i="8"/>
  <c r="G36" i="8" s="1"/>
  <c r="G32" i="8"/>
  <c r="G31" i="8"/>
  <c r="G30" i="8"/>
  <c r="E30" i="8"/>
  <c r="G29" i="8"/>
  <c r="G28" i="8"/>
  <c r="E28" i="8"/>
  <c r="G27" i="8"/>
  <c r="E27" i="8"/>
  <c r="G26" i="8"/>
  <c r="E26" i="8"/>
  <c r="G25" i="8"/>
  <c r="E25" i="8"/>
  <c r="G24" i="8"/>
  <c r="E24" i="8"/>
  <c r="G23" i="8"/>
  <c r="E23" i="8"/>
  <c r="G22" i="8"/>
  <c r="E22" i="8"/>
  <c r="G21" i="8"/>
  <c r="E21" i="8"/>
  <c r="G20" i="8"/>
  <c r="E20" i="8"/>
  <c r="G19" i="8"/>
  <c r="E19" i="8"/>
  <c r="G18" i="8"/>
  <c r="E18" i="8"/>
  <c r="E17" i="8"/>
  <c r="G17" i="8" s="1"/>
  <c r="G13" i="8"/>
  <c r="G12" i="8"/>
  <c r="G11" i="8"/>
  <c r="G10" i="8"/>
  <c r="G9" i="8"/>
  <c r="G8" i="8"/>
  <c r="G7" i="8"/>
  <c r="G6" i="8"/>
  <c r="G5" i="8"/>
  <c r="G4" i="8"/>
  <c r="G15" i="8" l="1"/>
  <c r="G34" i="8"/>
  <c r="C81" i="7"/>
  <c r="E81" i="7" s="1"/>
  <c r="E82" i="7" s="1"/>
  <c r="C78" i="7"/>
  <c r="G70" i="7"/>
  <c r="G69" i="7"/>
  <c r="G68" i="7"/>
  <c r="G67" i="7"/>
  <c r="G66" i="7"/>
  <c r="G65" i="7"/>
  <c r="E61" i="7"/>
  <c r="G61" i="7" s="1"/>
  <c r="E60" i="7"/>
  <c r="G60" i="7" s="1"/>
  <c r="E59" i="7"/>
  <c r="G59" i="7" s="1"/>
  <c r="G58" i="7"/>
  <c r="E58" i="7"/>
  <c r="E57" i="7"/>
  <c r="G57" i="7" s="1"/>
  <c r="E56" i="7"/>
  <c r="G56" i="7" s="1"/>
  <c r="E55" i="7"/>
  <c r="G55" i="7" s="1"/>
  <c r="E54" i="7"/>
  <c r="G54" i="7" s="1"/>
  <c r="E53" i="7"/>
  <c r="G53" i="7" s="1"/>
  <c r="E52" i="7"/>
  <c r="G52" i="7" s="1"/>
  <c r="E51" i="7"/>
  <c r="G51" i="7" s="1"/>
  <c r="G50" i="7"/>
  <c r="E49" i="7"/>
  <c r="G49" i="7" s="1"/>
  <c r="E48" i="7"/>
  <c r="G48" i="7" s="1"/>
  <c r="E47" i="7"/>
  <c r="G47" i="7" s="1"/>
  <c r="E46" i="7"/>
  <c r="G46" i="7" s="1"/>
  <c r="E45" i="7"/>
  <c r="G45" i="7" s="1"/>
  <c r="E44" i="7"/>
  <c r="G44" i="7" s="1"/>
  <c r="E43" i="7"/>
  <c r="G43" i="7" s="1"/>
  <c r="E42" i="7"/>
  <c r="G42" i="7" s="1"/>
  <c r="E41" i="7"/>
  <c r="G41" i="7" s="1"/>
  <c r="E40" i="7"/>
  <c r="G40" i="7" s="1"/>
  <c r="G39" i="7"/>
  <c r="E38" i="7"/>
  <c r="G38" i="7" s="1"/>
  <c r="G37" i="7"/>
  <c r="E36" i="7"/>
  <c r="G36" i="7" s="1"/>
  <c r="G32" i="7"/>
  <c r="G31" i="7"/>
  <c r="G30" i="7"/>
  <c r="E30" i="7"/>
  <c r="G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E17" i="7"/>
  <c r="G17" i="7" s="1"/>
  <c r="G13" i="7"/>
  <c r="G12" i="7"/>
  <c r="G11" i="7"/>
  <c r="G10" i="7"/>
  <c r="G9" i="7"/>
  <c r="G8" i="7"/>
  <c r="G7" i="7"/>
  <c r="G6" i="7"/>
  <c r="G5" i="7"/>
  <c r="G4" i="7"/>
  <c r="C82" i="6"/>
  <c r="E82" i="6" s="1"/>
  <c r="E83" i="6" s="1"/>
  <c r="C79" i="6"/>
  <c r="G71" i="6"/>
  <c r="G70" i="6"/>
  <c r="G69" i="6"/>
  <c r="G68" i="6"/>
  <c r="G67" i="6"/>
  <c r="G73" i="6" s="1"/>
  <c r="G66" i="6"/>
  <c r="E62" i="6"/>
  <c r="G62" i="6" s="1"/>
  <c r="E61" i="6"/>
  <c r="G61" i="6" s="1"/>
  <c r="E60" i="6"/>
  <c r="G60" i="6" s="1"/>
  <c r="E59" i="6"/>
  <c r="G59" i="6" s="1"/>
  <c r="E58" i="6"/>
  <c r="G58" i="6" s="1"/>
  <c r="E57" i="6"/>
  <c r="G57" i="6" s="1"/>
  <c r="E56" i="6"/>
  <c r="G56" i="6" s="1"/>
  <c r="E55" i="6"/>
  <c r="G55" i="6" s="1"/>
  <c r="E54" i="6"/>
  <c r="G54" i="6" s="1"/>
  <c r="E53" i="6"/>
  <c r="G53" i="6" s="1"/>
  <c r="E52" i="6"/>
  <c r="G52" i="6" s="1"/>
  <c r="G51" i="6"/>
  <c r="E50" i="6"/>
  <c r="G50" i="6" s="1"/>
  <c r="E49" i="6"/>
  <c r="G49" i="6" s="1"/>
  <c r="E48" i="6"/>
  <c r="G48" i="6" s="1"/>
  <c r="G47" i="6"/>
  <c r="E47" i="6"/>
  <c r="E46" i="6"/>
  <c r="G46" i="6" s="1"/>
  <c r="E45" i="6"/>
  <c r="G45" i="6" s="1"/>
  <c r="E44" i="6"/>
  <c r="G44" i="6" s="1"/>
  <c r="G43" i="6"/>
  <c r="E43" i="6"/>
  <c r="E42" i="6"/>
  <c r="G42" i="6" s="1"/>
  <c r="E41" i="6"/>
  <c r="G41" i="6" s="1"/>
  <c r="G40" i="6"/>
  <c r="G39" i="6"/>
  <c r="G38" i="6"/>
  <c r="E38" i="6"/>
  <c r="G37" i="6"/>
  <c r="E36" i="6"/>
  <c r="G36" i="6" s="1"/>
  <c r="G32" i="6"/>
  <c r="G31" i="6"/>
  <c r="G30" i="6"/>
  <c r="E30" i="6"/>
  <c r="G29" i="6"/>
  <c r="G28" i="6"/>
  <c r="E28" i="6"/>
  <c r="G27" i="6"/>
  <c r="E27" i="6"/>
  <c r="G26" i="6"/>
  <c r="E26" i="6"/>
  <c r="G25" i="6"/>
  <c r="E25" i="6"/>
  <c r="G24" i="6"/>
  <c r="E24" i="6"/>
  <c r="G23" i="6"/>
  <c r="E23" i="6"/>
  <c r="G22" i="6"/>
  <c r="E22" i="6"/>
  <c r="G21" i="6"/>
  <c r="E21" i="6"/>
  <c r="G20" i="6"/>
  <c r="E20" i="6"/>
  <c r="G19" i="6"/>
  <c r="E19" i="6"/>
  <c r="G18" i="6"/>
  <c r="E18" i="6"/>
  <c r="E17" i="6"/>
  <c r="G17" i="6" s="1"/>
  <c r="G34" i="6" s="1"/>
  <c r="G13" i="6"/>
  <c r="G12" i="6"/>
  <c r="G11" i="6"/>
  <c r="G10" i="6"/>
  <c r="G9" i="6"/>
  <c r="G8" i="6"/>
  <c r="G7" i="6"/>
  <c r="G6" i="6"/>
  <c r="G5" i="6"/>
  <c r="G4" i="6"/>
  <c r="G15" i="6" s="1"/>
  <c r="C81" i="5"/>
  <c r="E81" i="5" s="1"/>
  <c r="E82" i="5" s="1"/>
  <c r="C78" i="5"/>
  <c r="G70" i="5"/>
  <c r="G69" i="5"/>
  <c r="G68" i="5"/>
  <c r="G67" i="5"/>
  <c r="G66" i="5"/>
  <c r="G65" i="5"/>
  <c r="E61" i="5"/>
  <c r="G61" i="5" s="1"/>
  <c r="E60" i="5"/>
  <c r="G60" i="5" s="1"/>
  <c r="E59" i="5"/>
  <c r="G59" i="5" s="1"/>
  <c r="E58" i="5"/>
  <c r="G58" i="5" s="1"/>
  <c r="E57" i="5"/>
  <c r="G57" i="5" s="1"/>
  <c r="E56" i="5"/>
  <c r="G56" i="5" s="1"/>
  <c r="E55" i="5"/>
  <c r="G55" i="5" s="1"/>
  <c r="E54" i="5"/>
  <c r="G54" i="5" s="1"/>
  <c r="E53" i="5"/>
  <c r="G53" i="5" s="1"/>
  <c r="E52" i="5"/>
  <c r="G52" i="5" s="1"/>
  <c r="E51" i="5"/>
  <c r="G51" i="5" s="1"/>
  <c r="G50" i="5"/>
  <c r="E49" i="5"/>
  <c r="G49" i="5" s="1"/>
  <c r="E48" i="5"/>
  <c r="G48" i="5" s="1"/>
  <c r="E47" i="5"/>
  <c r="G47" i="5" s="1"/>
  <c r="E46" i="5"/>
  <c r="G46" i="5" s="1"/>
  <c r="E45" i="5"/>
  <c r="G45" i="5" s="1"/>
  <c r="E44" i="5"/>
  <c r="G44" i="5" s="1"/>
  <c r="E43" i="5"/>
  <c r="G43" i="5" s="1"/>
  <c r="E42" i="5"/>
  <c r="G42" i="5" s="1"/>
  <c r="E41" i="5"/>
  <c r="G41" i="5" s="1"/>
  <c r="E40" i="5"/>
  <c r="G40" i="5" s="1"/>
  <c r="G39" i="5"/>
  <c r="E38" i="5"/>
  <c r="G38" i="5" s="1"/>
  <c r="G37" i="5"/>
  <c r="E36" i="5"/>
  <c r="G36" i="5" s="1"/>
  <c r="G32" i="5"/>
  <c r="G31" i="5"/>
  <c r="G30" i="5"/>
  <c r="E30" i="5"/>
  <c r="G29" i="5"/>
  <c r="G28" i="5"/>
  <c r="E28" i="5"/>
  <c r="G27" i="5"/>
  <c r="E27" i="5"/>
  <c r="G26" i="5"/>
  <c r="E26" i="5"/>
  <c r="G25" i="5"/>
  <c r="E25" i="5"/>
  <c r="G24" i="5"/>
  <c r="E24" i="5"/>
  <c r="G23" i="5"/>
  <c r="E23" i="5"/>
  <c r="G22" i="5"/>
  <c r="E22" i="5"/>
  <c r="G21" i="5"/>
  <c r="E21" i="5"/>
  <c r="G20" i="5"/>
  <c r="E20" i="5"/>
  <c r="G19" i="5"/>
  <c r="E19" i="5"/>
  <c r="G18" i="5"/>
  <c r="E18" i="5"/>
  <c r="E17" i="5"/>
  <c r="G17" i="5" s="1"/>
  <c r="G34" i="5" s="1"/>
  <c r="G13" i="5"/>
  <c r="G12" i="5"/>
  <c r="G11" i="5"/>
  <c r="G10" i="5"/>
  <c r="G9" i="5"/>
  <c r="G8" i="5"/>
  <c r="G7" i="5"/>
  <c r="G6" i="5"/>
  <c r="G5" i="5"/>
  <c r="G4" i="5"/>
  <c r="G15" i="5" s="1"/>
  <c r="C82" i="4"/>
  <c r="E82" i="4" s="1"/>
  <c r="E83" i="4" s="1"/>
  <c r="C79" i="4"/>
  <c r="G71" i="4"/>
  <c r="G70" i="4"/>
  <c r="G69" i="4"/>
  <c r="G68" i="4"/>
  <c r="G67" i="4"/>
  <c r="G66" i="4"/>
  <c r="G7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G51" i="4"/>
  <c r="E50" i="4"/>
  <c r="G50" i="4" s="1"/>
  <c r="E49" i="4"/>
  <c r="G49" i="4" s="1"/>
  <c r="G48" i="4"/>
  <c r="E48" i="4"/>
  <c r="G47" i="4"/>
  <c r="E47" i="4"/>
  <c r="E46" i="4"/>
  <c r="G46" i="4" s="1"/>
  <c r="E45" i="4"/>
  <c r="G45" i="4" s="1"/>
  <c r="G44" i="4"/>
  <c r="E44" i="4"/>
  <c r="G43" i="4"/>
  <c r="E43" i="4"/>
  <c r="E42" i="4"/>
  <c r="G42" i="4" s="1"/>
  <c r="E41" i="4"/>
  <c r="G41" i="4" s="1"/>
  <c r="G40" i="4"/>
  <c r="G39" i="4"/>
  <c r="G38" i="4"/>
  <c r="E38" i="4"/>
  <c r="G37" i="4"/>
  <c r="E36" i="4"/>
  <c r="G36" i="4" s="1"/>
  <c r="G64" i="4" s="1"/>
  <c r="G32" i="4"/>
  <c r="G31" i="4"/>
  <c r="G30" i="4"/>
  <c r="E30" i="4"/>
  <c r="G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E17" i="4"/>
  <c r="G17" i="4" s="1"/>
  <c r="G34" i="4" s="1"/>
  <c r="G13" i="4"/>
  <c r="G12" i="4"/>
  <c r="G11" i="4"/>
  <c r="G10" i="4"/>
  <c r="G9" i="4"/>
  <c r="G8" i="4"/>
  <c r="G7" i="4"/>
  <c r="G6" i="4"/>
  <c r="G5" i="4"/>
  <c r="G4" i="4"/>
  <c r="G15" i="4" s="1"/>
  <c r="G72" i="5" l="1"/>
  <c r="G15" i="7"/>
  <c r="G72" i="7"/>
  <c r="G34" i="7"/>
  <c r="G63" i="7"/>
  <c r="G74" i="7" s="1"/>
  <c r="G64" i="6"/>
  <c r="G75" i="6"/>
  <c r="G63" i="5"/>
  <c r="G74" i="5" s="1"/>
  <c r="G75" i="4"/>
  <c r="G78" i="7" l="1"/>
  <c r="E83" i="7" s="1"/>
  <c r="E84" i="7"/>
  <c r="E86" i="7" s="1"/>
  <c r="E85" i="7" s="1"/>
  <c r="E85" i="6"/>
  <c r="E87" i="6" s="1"/>
  <c r="E86" i="6" s="1"/>
  <c r="G79" i="6"/>
  <c r="E84" i="6" s="1"/>
  <c r="E84" i="5"/>
  <c r="E86" i="5" s="1"/>
  <c r="E85" i="5" s="1"/>
  <c r="G78" i="5"/>
  <c r="E83" i="5" s="1"/>
  <c r="E85" i="4"/>
  <c r="E87" i="4" s="1"/>
  <c r="E86" i="4" s="1"/>
  <c r="G79" i="4"/>
  <c r="E84" i="4" s="1"/>
  <c r="E62" i="1"/>
  <c r="G62" i="1" s="1"/>
  <c r="E61" i="1"/>
  <c r="G61" i="1" s="1"/>
  <c r="C79" i="1"/>
  <c r="C82" i="1"/>
  <c r="G10" i="1" l="1"/>
  <c r="G7" i="1"/>
  <c r="G6" i="1"/>
  <c r="E82" i="1"/>
  <c r="E83" i="1" s="1"/>
  <c r="G26" i="1"/>
  <c r="E26" i="1"/>
  <c r="G71" i="1" l="1"/>
  <c r="G70" i="1"/>
  <c r="G69" i="1"/>
  <c r="G68" i="1"/>
  <c r="G67" i="1"/>
  <c r="G66" i="1"/>
  <c r="G73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G51" i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G40" i="1"/>
  <c r="G39" i="1"/>
  <c r="E38" i="1"/>
  <c r="G38" i="1" s="1"/>
  <c r="G37" i="1"/>
  <c r="E36" i="1"/>
  <c r="G36" i="1" s="1"/>
  <c r="G32" i="1"/>
  <c r="G31" i="1"/>
  <c r="G30" i="1"/>
  <c r="E30" i="1"/>
  <c r="G29" i="1"/>
  <c r="G28" i="1"/>
  <c r="E28" i="1"/>
  <c r="G27" i="1"/>
  <c r="E27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E17" i="1"/>
  <c r="G17" i="1" s="1"/>
  <c r="G13" i="1"/>
  <c r="G12" i="1"/>
  <c r="G11" i="1"/>
  <c r="G9" i="1"/>
  <c r="G8" i="1"/>
  <c r="G5" i="1"/>
  <c r="G4" i="1"/>
  <c r="G64" i="1" l="1"/>
  <c r="G34" i="1"/>
  <c r="G15" i="1"/>
  <c r="G75" i="1" l="1"/>
  <c r="G79" i="1" s="1"/>
  <c r="E84" i="1" s="1"/>
  <c r="E85" i="1" l="1"/>
  <c r="E87" i="1" s="1"/>
  <c r="E86" i="1" s="1"/>
</calcChain>
</file>

<file path=xl/sharedStrings.xml><?xml version="1.0" encoding="utf-8"?>
<sst xmlns="http://schemas.openxmlformats.org/spreadsheetml/2006/main" count="1044" uniqueCount="150">
  <si>
    <t>S/N</t>
  </si>
  <si>
    <t>TZ EXPENSES</t>
  </si>
  <si>
    <t>AMOUNT</t>
  </si>
  <si>
    <t xml:space="preserve">NATURE </t>
  </si>
  <si>
    <t xml:space="preserve">EX USD </t>
  </si>
  <si>
    <t xml:space="preserve">EXCHANGE RATE </t>
  </si>
  <si>
    <t xml:space="preserve">EX TZS </t>
  </si>
  <si>
    <t xml:space="preserve">Driver per diem General </t>
  </si>
  <si>
    <t xml:space="preserve">Go &amp; Return </t>
  </si>
  <si>
    <t>Council fees Tunduma</t>
  </si>
  <si>
    <t xml:space="preserve">Driver GCLA .. Facilitation </t>
  </si>
  <si>
    <t xml:space="preserve">Tunduma Agency fee </t>
  </si>
  <si>
    <t xml:space="preserve">GCLA Permit </t>
  </si>
  <si>
    <t xml:space="preserve">Lashing Fee </t>
  </si>
  <si>
    <t xml:space="preserve">Going </t>
  </si>
  <si>
    <t xml:space="preserve">Tundma Health Inspection Fee </t>
  </si>
  <si>
    <t>Return Only</t>
  </si>
  <si>
    <t xml:space="preserve">Road Toll system service Charges </t>
  </si>
  <si>
    <t>ZAMBIA EXPENSES</t>
  </si>
  <si>
    <t>Road toll- Nakonde - Kasumbalesa</t>
  </si>
  <si>
    <t>Council fees Nakonde/Isoka</t>
  </si>
  <si>
    <t>Toll gate Simon Kapwepwe</t>
  </si>
  <si>
    <t>Council fees Kasumbalesa ( Chililabombwe)</t>
  </si>
  <si>
    <t>Chingola Toll Plaza</t>
  </si>
  <si>
    <t xml:space="preserve">Mzani Zambia Kurudi </t>
  </si>
  <si>
    <t xml:space="preserve">Kasumbalesa Zambia Parking fee/Crossing Fee </t>
  </si>
  <si>
    <t>Radiation Permit per Trip</t>
  </si>
  <si>
    <t xml:space="preserve">Truck Permit Horse and Trailer </t>
  </si>
  <si>
    <t xml:space="preserve">Carbon Tax Permit </t>
  </si>
  <si>
    <t>DRC EXPENSES</t>
  </si>
  <si>
    <t xml:space="preserve">AMOUNT  </t>
  </si>
  <si>
    <t xml:space="preserve">Peage KASAMBALESA </t>
  </si>
  <si>
    <t xml:space="preserve">Kasumbalesa DRC Crossing Fee/Parking fee </t>
  </si>
  <si>
    <t>Wisky parking fee</t>
  </si>
  <si>
    <t xml:space="preserve">Truck Registration For First Trip to DRC </t>
  </si>
  <si>
    <t xml:space="preserve">New Lubumbashi Crossing Fee </t>
  </si>
  <si>
    <t>Kanyaka Parking fee </t>
  </si>
  <si>
    <t>Driver VISA </t>
  </si>
  <si>
    <t>Entry Card </t>
  </si>
  <si>
    <t>Tourism Levy </t>
  </si>
  <si>
    <t xml:space="preserve">Agency Fee </t>
  </si>
  <si>
    <t xml:space="preserve">Tracking Device </t>
  </si>
  <si>
    <t>Transcom </t>
  </si>
  <si>
    <t>Covid Test DRC Facilitation</t>
  </si>
  <si>
    <t>Peage Kimbembe</t>
  </si>
  <si>
    <t>Peage Lualaba</t>
  </si>
  <si>
    <t>Peage Buluo</t>
  </si>
  <si>
    <t xml:space="preserve">Likasi BY PASS </t>
  </si>
  <si>
    <t xml:space="preserve">Carriers Certificate in DRC </t>
  </si>
  <si>
    <t xml:space="preserve">Peage Lwambo </t>
  </si>
  <si>
    <t xml:space="preserve">DRC Documents Pushing </t>
  </si>
  <si>
    <t xml:space="preserve">Chemial Fee in DRC </t>
  </si>
  <si>
    <t xml:space="preserve">Parking Fee in DRC and Loading Facilitation </t>
  </si>
  <si>
    <t xml:space="preserve">Lualaba Bridge </t>
  </si>
  <si>
    <t xml:space="preserve">Kolwezi  ( Connex ) Parking Fee </t>
  </si>
  <si>
    <t>FIXED EXPENSES</t>
  </si>
  <si>
    <t xml:space="preserve">Driver's salary </t>
  </si>
  <si>
    <t xml:space="preserve">For 2 months </t>
  </si>
  <si>
    <t xml:space="preserve">Bracks Linning </t>
  </si>
  <si>
    <t>Single trip</t>
  </si>
  <si>
    <t xml:space="preserve">Insurance </t>
  </si>
  <si>
    <t>Service (Oil Filter and grees)</t>
  </si>
  <si>
    <t xml:space="preserve">Tires </t>
  </si>
  <si>
    <t xml:space="preserve">TOTAL EXPENSES WITHOUT FUEL </t>
  </si>
  <si>
    <t xml:space="preserve">ADD FUEL COST </t>
  </si>
  <si>
    <t xml:space="preserve">TOTAL WITH FUEL </t>
  </si>
  <si>
    <t xml:space="preserve">Rate Kwenda na Kurudi </t>
  </si>
  <si>
    <t xml:space="preserve">Roundtrip </t>
  </si>
  <si>
    <t xml:space="preserve">TOTAL REVENUE IN TZS </t>
  </si>
  <si>
    <t xml:space="preserve">TOTAL TRIP COST IN USD  </t>
  </si>
  <si>
    <t xml:space="preserve">TOTAL TRIP COST IN TZS </t>
  </si>
  <si>
    <t xml:space="preserve">BALANCE IN USD </t>
  </si>
  <si>
    <t xml:space="preserve">BALANCE IN TZS PER TRUCK </t>
  </si>
  <si>
    <t xml:space="preserve">PREPRED BY </t>
  </si>
  <si>
    <t xml:space="preserve">POSITION </t>
  </si>
  <si>
    <t xml:space="preserve">SIGNATURE  </t>
  </si>
  <si>
    <t xml:space="preserve">DATE </t>
  </si>
  <si>
    <t xml:space="preserve">KONYA PAUL </t>
  </si>
  <si>
    <t xml:space="preserve">FLEET MANAGER </t>
  </si>
  <si>
    <t>FIRST APPROVED BY</t>
  </si>
  <si>
    <t>POSITION</t>
  </si>
  <si>
    <t>SIGNATURE</t>
  </si>
  <si>
    <t>DATE</t>
  </si>
  <si>
    <t xml:space="preserve">YAHYA KILUA </t>
  </si>
  <si>
    <t xml:space="preserve">OPERATIONS MANAGER </t>
  </si>
  <si>
    <t xml:space="preserve">FINAL APPROVED BY </t>
  </si>
  <si>
    <t xml:space="preserve">SOOD M. SOOD </t>
  </si>
  <si>
    <t xml:space="preserve">MANAGING DIRECTOR </t>
  </si>
  <si>
    <t>Toll gate Donald Siwale</t>
  </si>
  <si>
    <t xml:space="preserve">Toll gate  Chilonga Mission </t>
  </si>
  <si>
    <t xml:space="preserve">Toll Gates George Kunda </t>
  </si>
  <si>
    <t xml:space="preserve">Toll gate Kafulafuta </t>
  </si>
  <si>
    <t>Toll gates Sabina</t>
  </si>
  <si>
    <t xml:space="preserve">Toll gates Ibrahim Mokola </t>
  </si>
  <si>
    <t xml:space="preserve">CNPR Fee for Loose Cargo </t>
  </si>
  <si>
    <t xml:space="preserve">TRA Tracking Devices </t>
  </si>
  <si>
    <t>DAR ES SALAAM - KOLWEZI-   LOOSE CARGO  - T980 EPE</t>
  </si>
  <si>
    <t>TRIP: T980/2026/G001</t>
  </si>
  <si>
    <t xml:space="preserve">Loading entrace driver with No GCLA Certificate </t>
  </si>
  <si>
    <t xml:space="preserve">Go and Return </t>
  </si>
  <si>
    <t>Fuel 2500 litres =(2575*2740)</t>
  </si>
  <si>
    <t>FIXED COST</t>
  </si>
  <si>
    <t xml:space="preserve">Communal Peage in Lubumbashi </t>
  </si>
  <si>
    <t xml:space="preserve">DRC tracking Unit </t>
  </si>
  <si>
    <t xml:space="preserve">DAR ES SALAAM - KOLWEZI-   LOOSE CARGO  - T312 EMD </t>
  </si>
  <si>
    <t>TRIP: T312/2026/G001</t>
  </si>
  <si>
    <t xml:space="preserve">DAR ES SALAAM - KOLWEZI-   LOOSE CARGO  - T265 EMD </t>
  </si>
  <si>
    <t>TRIP: T265/2026/G001</t>
  </si>
  <si>
    <t xml:space="preserve">DAR ES SALAAM - KOLWEZI-   LOOSE CARGO  - T310  EMD </t>
  </si>
  <si>
    <t>TRIP: T310/2026/G001</t>
  </si>
  <si>
    <t xml:space="preserve">DAR ES SALAAM - KOLWEZI-   LOOSE CARGO  - T262 EMD </t>
  </si>
  <si>
    <t>TRIP: T262/2026/G001</t>
  </si>
  <si>
    <t xml:space="preserve">FOR 5 TRUCKS </t>
  </si>
  <si>
    <t xml:space="preserve">KORRIDOR </t>
  </si>
  <si>
    <t xml:space="preserve">SEEEKERS </t>
  </si>
  <si>
    <t xml:space="preserve">TOTAL KORRIDOR </t>
  </si>
  <si>
    <t xml:space="preserve">TOTAL SEEKERS </t>
  </si>
  <si>
    <t xml:space="preserve">TOTAL 5 KORRIDOR </t>
  </si>
  <si>
    <t xml:space="preserve">TOTAL 5 SEEKERS </t>
  </si>
  <si>
    <t>TOTAL KORR &amp; SEEKER</t>
  </si>
  <si>
    <t xml:space="preserve">Zambia Crossing </t>
  </si>
  <si>
    <t>DRC Parking</t>
  </si>
  <si>
    <t xml:space="preserve">Whisky </t>
  </si>
  <si>
    <t xml:space="preserve">Lubumbashi Peage KSM </t>
  </si>
  <si>
    <t>Kanyaka</t>
  </si>
  <si>
    <t xml:space="preserve">Entry Card </t>
  </si>
  <si>
    <t xml:space="preserve">Tourism Levy </t>
  </si>
  <si>
    <t xml:space="preserve">CNPR </t>
  </si>
  <si>
    <t xml:space="preserve">Agence Fee (GAEL ) </t>
  </si>
  <si>
    <t xml:space="preserve">Transcorm (Truck VISA) </t>
  </si>
  <si>
    <t xml:space="preserve">Driver Visa </t>
  </si>
  <si>
    <t xml:space="preserve">Covid Facilitation </t>
  </si>
  <si>
    <t xml:space="preserve">Drc document Pushing </t>
  </si>
  <si>
    <t xml:space="preserve">Chemical Fee </t>
  </si>
  <si>
    <t xml:space="preserve">Conex Africa Parking </t>
  </si>
  <si>
    <t xml:space="preserve">Lubumbashi  Peage </t>
  </si>
  <si>
    <t xml:space="preserve">SN </t>
  </si>
  <si>
    <t>Parking DRC</t>
  </si>
  <si>
    <t>DOLA 10</t>
  </si>
  <si>
    <t>BACKLOAD FCL</t>
  </si>
  <si>
    <t xml:space="preserve">GAEL </t>
  </si>
  <si>
    <t xml:space="preserve">DRC PARKING </t>
  </si>
  <si>
    <t>Entry Card</t>
  </si>
  <si>
    <t xml:space="preserve">Agence Fee </t>
  </si>
  <si>
    <t xml:space="preserve">Transcorm </t>
  </si>
  <si>
    <t xml:space="preserve">DRC Document Pushing </t>
  </si>
  <si>
    <t xml:space="preserve">Chemicl Fee </t>
  </si>
  <si>
    <t>Lubumbashi Go and Return (KSM )</t>
  </si>
  <si>
    <t>Matumiz Dola 990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</si>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</sst>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TSh&quot;* #,##0.00_-;\-&quot;TSh&quot;* #,##0.00_-;_-&quot;TSh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$-1009]* #,##0.00_-;\-[$$-1009]* #,##0.00_-;_-[$$-1009]* &quot;-&quot;??_-;_-@_-"/>
    <numFmt numFmtId="166" formatCode="_-[$$-C09]* #,##0.00_-;\-[$$-C09]* #,##0.00_-;_-[$$-C09]* &quot;-&quot;??_-;_-@_-"/>
    <numFmt numFmtId="167" formatCode="_-[$ZMK]\ * #,##0.00_-;\-[$ZMK]\ * #,##0.00_-;_-[$ZMK]\ * &quot;-&quot;??_-;_-@_-"/>
    <numFmt numFmtId="168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 wrapText="1"/>
    </xf>
    <xf numFmtId="44" fontId="2" fillId="4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44" fontId="5" fillId="6" borderId="1" xfId="1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vertical="center"/>
    </xf>
    <xf numFmtId="44" fontId="3" fillId="0" borderId="1" xfId="2" applyFont="1" applyBorder="1" applyAlignment="1">
      <alignment vertical="center"/>
    </xf>
    <xf numFmtId="44" fontId="3" fillId="5" borderId="1" xfId="2" applyFont="1" applyFill="1" applyBorder="1" applyAlignment="1">
      <alignment vertical="center"/>
    </xf>
    <xf numFmtId="165" fontId="5" fillId="6" borderId="1" xfId="1" applyNumberFormat="1" applyFont="1" applyFill="1" applyBorder="1" applyAlignment="1">
      <alignment vertical="center" wrapText="1"/>
    </xf>
    <xf numFmtId="43" fontId="6" fillId="5" borderId="1" xfId="1" applyFont="1" applyFill="1" applyBorder="1" applyAlignment="1">
      <alignment vertical="center"/>
    </xf>
    <xf numFmtId="44" fontId="3" fillId="0" borderId="0" xfId="0" applyNumberFormat="1" applyFont="1" applyAlignment="1">
      <alignment vertical="center"/>
    </xf>
    <xf numFmtId="43" fontId="5" fillId="6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4" fontId="2" fillId="2" borderId="1" xfId="2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vertical="center" wrapText="1"/>
    </xf>
    <xf numFmtId="166" fontId="3" fillId="0" borderId="1" xfId="0" applyNumberFormat="1" applyFont="1" applyBorder="1" applyAlignment="1">
      <alignment vertical="center"/>
    </xf>
    <xf numFmtId="167" fontId="5" fillId="6" borderId="1" xfId="2" applyNumberFormat="1" applyFont="1" applyFill="1" applyBorder="1" applyAlignment="1">
      <alignment vertical="center" wrapText="1"/>
    </xf>
    <xf numFmtId="167" fontId="5" fillId="6" borderId="1" xfId="1" applyNumberFormat="1" applyFont="1" applyFill="1" applyBorder="1" applyAlignment="1">
      <alignment vertical="center" wrapText="1"/>
    </xf>
    <xf numFmtId="167" fontId="5" fillId="6" borderId="1" xfId="3" applyNumberFormat="1" applyFont="1" applyFill="1" applyBorder="1" applyAlignment="1">
      <alignment vertical="center" wrapText="1"/>
    </xf>
    <xf numFmtId="166" fontId="5" fillId="6" borderId="1" xfId="3" applyNumberFormat="1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43" fontId="2" fillId="5" borderId="1" xfId="1" applyFont="1" applyFill="1" applyBorder="1" applyAlignment="1">
      <alignment vertical="center"/>
    </xf>
    <xf numFmtId="164" fontId="5" fillId="6" borderId="1" xfId="2" applyNumberFormat="1" applyFont="1" applyFill="1" applyBorder="1" applyAlignment="1">
      <alignment vertical="center" wrapText="1"/>
    </xf>
    <xf numFmtId="164" fontId="3" fillId="0" borderId="1" xfId="2" applyNumberFormat="1" applyFont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44" fontId="3" fillId="8" borderId="1" xfId="1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 wrapText="1"/>
    </xf>
    <xf numFmtId="164" fontId="3" fillId="8" borderId="1" xfId="0" applyNumberFormat="1" applyFont="1" applyFill="1" applyBorder="1" applyAlignment="1">
      <alignment vertical="center"/>
    </xf>
    <xf numFmtId="44" fontId="3" fillId="8" borderId="1" xfId="0" applyNumberFormat="1" applyFont="1" applyFill="1" applyBorder="1" applyAlignment="1">
      <alignment vertical="center"/>
    </xf>
    <xf numFmtId="44" fontId="3" fillId="5" borderId="1" xfId="1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44" fontId="2" fillId="5" borderId="1" xfId="1" applyNumberFormat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Border="1" applyAlignment="1">
      <alignment vertical="center"/>
    </xf>
    <xf numFmtId="44" fontId="2" fillId="2" borderId="1" xfId="1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4" fontId="2" fillId="11" borderId="1" xfId="2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44" fontId="2" fillId="4" borderId="1" xfId="1" applyNumberFormat="1" applyFont="1" applyFill="1" applyBorder="1" applyAlignment="1">
      <alignment vertical="center"/>
    </xf>
    <xf numFmtId="44" fontId="2" fillId="0" borderId="1" xfId="2" applyNumberFormat="1" applyFont="1" applyBorder="1" applyAlignment="1">
      <alignment vertical="center"/>
    </xf>
    <xf numFmtId="44" fontId="2" fillId="5" borderId="1" xfId="2" applyFont="1" applyFill="1" applyBorder="1" applyAlignment="1">
      <alignment vertical="center"/>
    </xf>
    <xf numFmtId="43" fontId="3" fillId="5" borderId="1" xfId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2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44" fontId="2" fillId="5" borderId="1" xfId="2" applyNumberFormat="1" applyFont="1" applyFill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44" fontId="3" fillId="13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0" xfId="1" applyFont="1" applyAlignment="1">
      <alignment vertical="center"/>
    </xf>
    <xf numFmtId="44" fontId="3" fillId="0" borderId="0" xfId="2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6" fillId="5" borderId="1" xfId="2" applyFont="1" applyFill="1" applyBorder="1" applyAlignment="1">
      <alignment vertical="center"/>
    </xf>
    <xf numFmtId="164" fontId="3" fillId="0" borderId="2" xfId="1" applyNumberFormat="1" applyFont="1" applyBorder="1" applyAlignment="1">
      <alignment vertical="center"/>
    </xf>
    <xf numFmtId="0" fontId="5" fillId="7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3" fillId="0" borderId="2" xfId="2" applyFont="1" applyBorder="1" applyAlignment="1">
      <alignment vertical="center"/>
    </xf>
    <xf numFmtId="44" fontId="2" fillId="2" borderId="2" xfId="2" applyFont="1" applyFill="1" applyBorder="1" applyAlignment="1">
      <alignment vertical="center"/>
    </xf>
    <xf numFmtId="44" fontId="2" fillId="4" borderId="2" xfId="2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vertical="center"/>
    </xf>
    <xf numFmtId="44" fontId="3" fillId="5" borderId="1" xfId="0" applyNumberFormat="1" applyFont="1" applyFill="1" applyBorder="1" applyAlignment="1">
      <alignment vertical="center"/>
    </xf>
    <xf numFmtId="44" fontId="2" fillId="0" borderId="1" xfId="2" applyFont="1" applyFill="1" applyBorder="1" applyAlignment="1">
      <alignment vertical="center"/>
    </xf>
    <xf numFmtId="44" fontId="2" fillId="0" borderId="1" xfId="1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44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vertical="center"/>
    </xf>
    <xf numFmtId="44" fontId="6" fillId="5" borderId="2" xfId="2" applyFont="1" applyFill="1" applyBorder="1" applyAlignment="1">
      <alignment vertical="center"/>
    </xf>
    <xf numFmtId="43" fontId="6" fillId="5" borderId="2" xfId="1" applyFont="1" applyFill="1" applyBorder="1" applyAlignment="1">
      <alignment vertical="center"/>
    </xf>
    <xf numFmtId="43" fontId="2" fillId="5" borderId="2" xfId="1" applyFont="1" applyFill="1" applyBorder="1" applyAlignment="1">
      <alignment vertical="center"/>
    </xf>
    <xf numFmtId="44" fontId="3" fillId="0" borderId="1" xfId="0" applyNumberFormat="1" applyFont="1" applyBorder="1" applyAlignment="1">
      <alignment horizontal="center" vertical="center"/>
    </xf>
    <xf numFmtId="44" fontId="2" fillId="14" borderId="1" xfId="2" applyFont="1" applyFill="1" applyBorder="1" applyAlignment="1">
      <alignment vertical="center"/>
    </xf>
    <xf numFmtId="44" fontId="2" fillId="0" borderId="1" xfId="2" applyFont="1" applyBorder="1" applyAlignment="1">
      <alignment vertical="center"/>
    </xf>
    <xf numFmtId="44" fontId="2" fillId="5" borderId="5" xfId="0" applyNumberFormat="1" applyFont="1" applyFill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4" fontId="3" fillId="0" borderId="1" xfId="2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3" fontId="2" fillId="13" borderId="1" xfId="1" applyFont="1" applyFill="1" applyBorder="1" applyAlignment="1">
      <alignment horizontal="center" vertical="center"/>
    </xf>
    <xf numFmtId="44" fontId="2" fillId="13" borderId="1" xfId="2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center" vertical="center"/>
    </xf>
    <xf numFmtId="43" fontId="3" fillId="13" borderId="2" xfId="1" applyFont="1" applyFill="1" applyBorder="1" applyAlignment="1">
      <alignment horizontal="center" vertical="center"/>
    </xf>
    <xf numFmtId="43" fontId="3" fillId="13" borderId="4" xfId="1" applyFont="1" applyFill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7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6"/>
  <sheetViews>
    <sheetView topLeftCell="A37" zoomScaleNormal="100" workbookViewId="0">
      <selection activeCell="H49" sqref="H49"/>
    </sheetView>
  </sheetViews>
  <sheetFormatPr defaultColWidth="14.44140625" defaultRowHeight="13.8" x14ac:dyDescent="0.3"/>
  <cols>
    <col min="1" max="1" width="5" style="39" bestFit="1" customWidth="1"/>
    <col min="2" max="2" width="39.6640625" style="1" customWidth="1"/>
    <col min="3" max="3" width="19.109375" style="63" customWidth="1"/>
    <col min="4" max="4" width="19.88671875" style="1" customWidth="1"/>
    <col min="5" max="5" width="16.44140625" style="1" bestFit="1" customWidth="1"/>
    <col min="6" max="6" width="19.21875" style="64" customWidth="1"/>
    <col min="7" max="7" width="24.33203125" style="64" customWidth="1"/>
    <col min="8" max="18" width="30.88671875" style="1" customWidth="1"/>
    <col min="19" max="16384" width="14.44140625" style="1"/>
  </cols>
  <sheetData>
    <row r="1" spans="1:8" ht="46.2" customHeight="1" x14ac:dyDescent="0.3">
      <c r="A1" s="97" t="s">
        <v>96</v>
      </c>
      <c r="B1" s="97"/>
      <c r="C1" s="97"/>
      <c r="D1" s="97"/>
      <c r="E1" s="97"/>
      <c r="F1" s="97"/>
      <c r="G1" s="97"/>
    </row>
    <row r="2" spans="1:8" ht="35.4" customHeight="1" x14ac:dyDescent="0.3">
      <c r="A2" s="2"/>
      <c r="B2" s="2"/>
      <c r="C2" s="98" t="s">
        <v>97</v>
      </c>
      <c r="D2" s="99"/>
      <c r="E2" s="100"/>
      <c r="F2" s="2"/>
      <c r="G2" s="2"/>
    </row>
    <row r="3" spans="1:8" s="6" customFormat="1" x14ac:dyDescent="0.3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5" t="s">
        <v>5</v>
      </c>
      <c r="G3" s="5" t="s">
        <v>6</v>
      </c>
    </row>
    <row r="4" spans="1:8" x14ac:dyDescent="0.3">
      <c r="A4" s="7">
        <v>1</v>
      </c>
      <c r="B4" s="8" t="s">
        <v>7</v>
      </c>
      <c r="C4" s="9">
        <v>2000000</v>
      </c>
      <c r="D4" s="10" t="s">
        <v>8</v>
      </c>
      <c r="E4" s="11">
        <v>740.74074074073997</v>
      </c>
      <c r="F4" s="12">
        <v>2700</v>
      </c>
      <c r="G4" s="12">
        <f>(F4*E4)</f>
        <v>1999999.9999999979</v>
      </c>
    </row>
    <row r="5" spans="1:8" x14ac:dyDescent="0.3">
      <c r="A5" s="7">
        <v>2</v>
      </c>
      <c r="B5" s="8" t="s">
        <v>9</v>
      </c>
      <c r="C5" s="9">
        <v>15000</v>
      </c>
      <c r="D5" s="10" t="s">
        <v>8</v>
      </c>
      <c r="E5" s="11">
        <v>5.5555555549999998</v>
      </c>
      <c r="F5" s="12">
        <v>2700</v>
      </c>
      <c r="G5" s="12">
        <f>(F5*E5)</f>
        <v>14999.999998499999</v>
      </c>
    </row>
    <row r="6" spans="1:8" x14ac:dyDescent="0.3">
      <c r="A6" s="7">
        <v>3</v>
      </c>
      <c r="B6" s="8" t="s">
        <v>10</v>
      </c>
      <c r="C6" s="9">
        <v>30000</v>
      </c>
      <c r="D6" s="10" t="s">
        <v>8</v>
      </c>
      <c r="E6" s="11">
        <v>11.1111111</v>
      </c>
      <c r="F6" s="12">
        <v>2700</v>
      </c>
      <c r="G6" s="12">
        <f>(F6*E6)</f>
        <v>29999.999970000001</v>
      </c>
    </row>
    <row r="7" spans="1:8" x14ac:dyDescent="0.3">
      <c r="A7" s="7">
        <v>4</v>
      </c>
      <c r="B7" s="8" t="s">
        <v>95</v>
      </c>
      <c r="C7" s="9">
        <v>60000</v>
      </c>
      <c r="D7" s="10" t="s">
        <v>8</v>
      </c>
      <c r="E7" s="11">
        <v>22.222222200000001</v>
      </c>
      <c r="F7" s="12">
        <v>2700</v>
      </c>
      <c r="G7" s="12">
        <f>E7*F7</f>
        <v>59999.999940000002</v>
      </c>
    </row>
    <row r="8" spans="1:8" x14ac:dyDescent="0.3">
      <c r="A8" s="7">
        <v>5</v>
      </c>
      <c r="B8" s="8" t="s">
        <v>11</v>
      </c>
      <c r="C8" s="9">
        <v>40000</v>
      </c>
      <c r="D8" s="10" t="s">
        <v>8</v>
      </c>
      <c r="E8" s="11">
        <v>14.8148148148</v>
      </c>
      <c r="F8" s="12">
        <v>2700</v>
      </c>
      <c r="G8" s="12">
        <f t="shared" ref="G8:G13" si="0">(F8*E8)</f>
        <v>39999.999999959997</v>
      </c>
    </row>
    <row r="9" spans="1:8" x14ac:dyDescent="0.3">
      <c r="A9" s="7">
        <v>6</v>
      </c>
      <c r="B9" s="8" t="s">
        <v>12</v>
      </c>
      <c r="C9" s="9">
        <v>77500</v>
      </c>
      <c r="D9" s="10" t="s">
        <v>8</v>
      </c>
      <c r="E9" s="11">
        <v>28.703703699999998</v>
      </c>
      <c r="F9" s="13">
        <v>2700</v>
      </c>
      <c r="G9" s="12">
        <f>(F9*E9)</f>
        <v>77499.999989999997</v>
      </c>
    </row>
    <row r="10" spans="1:8" x14ac:dyDescent="0.3">
      <c r="A10" s="7">
        <v>7</v>
      </c>
      <c r="B10" s="8" t="s">
        <v>98</v>
      </c>
      <c r="C10" s="9">
        <v>30000</v>
      </c>
      <c r="D10" s="10" t="s">
        <v>99</v>
      </c>
      <c r="E10" s="11">
        <v>11.111110999999999</v>
      </c>
      <c r="F10" s="13">
        <v>2700</v>
      </c>
      <c r="G10" s="12">
        <f>(F10*E10)</f>
        <v>29999.999699999997</v>
      </c>
    </row>
    <row r="11" spans="1:8" x14ac:dyDescent="0.3">
      <c r="A11" s="7">
        <v>8</v>
      </c>
      <c r="B11" s="8" t="s">
        <v>13</v>
      </c>
      <c r="C11" s="9">
        <v>30000</v>
      </c>
      <c r="D11" s="10" t="s">
        <v>14</v>
      </c>
      <c r="E11" s="11">
        <v>11.11111111</v>
      </c>
      <c r="F11" s="12">
        <v>2700</v>
      </c>
      <c r="G11" s="12">
        <f t="shared" si="0"/>
        <v>29999.999996999999</v>
      </c>
    </row>
    <row r="12" spans="1:8" x14ac:dyDescent="0.3">
      <c r="A12" s="7">
        <v>9</v>
      </c>
      <c r="B12" s="8" t="s">
        <v>15</v>
      </c>
      <c r="C12" s="14">
        <v>5</v>
      </c>
      <c r="D12" s="10" t="s">
        <v>16</v>
      </c>
      <c r="E12" s="11">
        <v>3.7037037037037002</v>
      </c>
      <c r="F12" s="12">
        <v>2700</v>
      </c>
      <c r="G12" s="67">
        <f t="shared" si="0"/>
        <v>9999.9999999999909</v>
      </c>
      <c r="H12" s="16"/>
    </row>
    <row r="13" spans="1:8" x14ac:dyDescent="0.3">
      <c r="A13" s="7">
        <v>10</v>
      </c>
      <c r="B13" s="8" t="s">
        <v>17</v>
      </c>
      <c r="C13" s="14">
        <v>12</v>
      </c>
      <c r="D13" s="10" t="s">
        <v>8</v>
      </c>
      <c r="E13" s="11">
        <v>12</v>
      </c>
      <c r="F13" s="12">
        <v>2700</v>
      </c>
      <c r="G13" s="67">
        <f t="shared" si="0"/>
        <v>32400</v>
      </c>
      <c r="H13" s="16"/>
    </row>
    <row r="14" spans="1:8" x14ac:dyDescent="0.3">
      <c r="A14" s="7"/>
      <c r="B14" s="8"/>
      <c r="C14" s="14"/>
      <c r="D14" s="10"/>
      <c r="E14" s="11"/>
      <c r="F14" s="12"/>
      <c r="G14" s="15"/>
      <c r="H14" s="16"/>
    </row>
    <row r="15" spans="1:8" x14ac:dyDescent="0.3">
      <c r="A15" s="7"/>
      <c r="B15" s="8"/>
      <c r="C15" s="17"/>
      <c r="D15" s="10"/>
      <c r="E15" s="18"/>
      <c r="F15" s="12"/>
      <c r="G15" s="19">
        <f>SUM(G4:G14)</f>
        <v>2324899.9995954582</v>
      </c>
    </row>
    <row r="16" spans="1:8" s="6" customFormat="1" x14ac:dyDescent="0.3">
      <c r="A16" s="20"/>
      <c r="B16" s="3" t="s">
        <v>18</v>
      </c>
      <c r="C16" s="4" t="s">
        <v>2</v>
      </c>
      <c r="D16" s="3" t="s">
        <v>3</v>
      </c>
      <c r="E16" s="3" t="s">
        <v>4</v>
      </c>
      <c r="F16" s="5" t="s">
        <v>5</v>
      </c>
      <c r="G16" s="5"/>
    </row>
    <row r="17" spans="1:8" x14ac:dyDescent="0.3">
      <c r="A17" s="7">
        <v>11</v>
      </c>
      <c r="B17" s="8" t="s">
        <v>19</v>
      </c>
      <c r="C17" s="21">
        <v>356</v>
      </c>
      <c r="D17" s="10" t="s">
        <v>8</v>
      </c>
      <c r="E17" s="22">
        <f>(C17)</f>
        <v>356</v>
      </c>
      <c r="F17" s="12">
        <v>2700</v>
      </c>
      <c r="G17" s="12">
        <f>(F17*E17)</f>
        <v>961200</v>
      </c>
    </row>
    <row r="18" spans="1:8" x14ac:dyDescent="0.3">
      <c r="A18" s="7">
        <v>12</v>
      </c>
      <c r="B18" s="8" t="s">
        <v>20</v>
      </c>
      <c r="C18" s="23">
        <v>250</v>
      </c>
      <c r="D18" s="10" t="s">
        <v>8</v>
      </c>
      <c r="E18" s="22">
        <f t="shared" ref="E18" si="1">(C18*0.0375)</f>
        <v>9.375</v>
      </c>
      <c r="F18" s="12">
        <v>130</v>
      </c>
      <c r="G18" s="12">
        <f>(C18*F18)</f>
        <v>32500</v>
      </c>
    </row>
    <row r="19" spans="1:8" x14ac:dyDescent="0.3">
      <c r="A19" s="7">
        <v>13</v>
      </c>
      <c r="B19" s="8" t="s">
        <v>88</v>
      </c>
      <c r="C19" s="24">
        <v>600</v>
      </c>
      <c r="D19" s="10" t="s">
        <v>8</v>
      </c>
      <c r="E19" s="22">
        <f>(C19*0.0375)</f>
        <v>22.5</v>
      </c>
      <c r="F19" s="12">
        <v>130</v>
      </c>
      <c r="G19" s="12">
        <f t="shared" ref="G19:G32" si="2">(C19*F19)</f>
        <v>78000</v>
      </c>
      <c r="H19" s="16"/>
    </row>
    <row r="20" spans="1:8" x14ac:dyDescent="0.3">
      <c r="A20" s="7">
        <v>14</v>
      </c>
      <c r="B20" s="8" t="s">
        <v>21</v>
      </c>
      <c r="C20" s="24">
        <v>600</v>
      </c>
      <c r="D20" s="10" t="s">
        <v>8</v>
      </c>
      <c r="E20" s="22">
        <f t="shared" ref="E20:E30" si="3">(C20*0.0375)</f>
        <v>22.5</v>
      </c>
      <c r="F20" s="12">
        <v>130</v>
      </c>
      <c r="G20" s="12">
        <f t="shared" si="2"/>
        <v>78000</v>
      </c>
    </row>
    <row r="21" spans="1:8" x14ac:dyDescent="0.3">
      <c r="A21" s="7">
        <v>15</v>
      </c>
      <c r="B21" s="8" t="s">
        <v>89</v>
      </c>
      <c r="C21" s="24">
        <v>600</v>
      </c>
      <c r="D21" s="10" t="s">
        <v>8</v>
      </c>
      <c r="E21" s="22">
        <f t="shared" si="3"/>
        <v>22.5</v>
      </c>
      <c r="F21" s="12">
        <v>130</v>
      </c>
      <c r="G21" s="12">
        <f t="shared" si="2"/>
        <v>78000</v>
      </c>
    </row>
    <row r="22" spans="1:8" x14ac:dyDescent="0.3">
      <c r="A22" s="7">
        <v>16</v>
      </c>
      <c r="B22" s="8" t="s">
        <v>90</v>
      </c>
      <c r="C22" s="24">
        <v>600</v>
      </c>
      <c r="D22" s="10" t="s">
        <v>8</v>
      </c>
      <c r="E22" s="22">
        <f t="shared" si="3"/>
        <v>22.5</v>
      </c>
      <c r="F22" s="12">
        <v>130</v>
      </c>
      <c r="G22" s="12">
        <f t="shared" si="2"/>
        <v>78000</v>
      </c>
    </row>
    <row r="23" spans="1:8" x14ac:dyDescent="0.3">
      <c r="A23" s="7">
        <v>17</v>
      </c>
      <c r="B23" s="8" t="s">
        <v>91</v>
      </c>
      <c r="C23" s="24">
        <v>600</v>
      </c>
      <c r="D23" s="10" t="s">
        <v>8</v>
      </c>
      <c r="E23" s="22">
        <f t="shared" si="3"/>
        <v>22.5</v>
      </c>
      <c r="F23" s="12">
        <v>130</v>
      </c>
      <c r="G23" s="12">
        <f t="shared" si="2"/>
        <v>78000</v>
      </c>
    </row>
    <row r="24" spans="1:8" x14ac:dyDescent="0.3">
      <c r="A24" s="7">
        <v>18</v>
      </c>
      <c r="B24" s="8" t="s">
        <v>93</v>
      </c>
      <c r="C24" s="24">
        <v>690</v>
      </c>
      <c r="D24" s="10" t="s">
        <v>8</v>
      </c>
      <c r="E24" s="22">
        <f t="shared" si="3"/>
        <v>25.875</v>
      </c>
      <c r="F24" s="12">
        <v>130</v>
      </c>
      <c r="G24" s="12">
        <f t="shared" si="2"/>
        <v>89700</v>
      </c>
    </row>
    <row r="25" spans="1:8" x14ac:dyDescent="0.3">
      <c r="A25" s="7">
        <v>19</v>
      </c>
      <c r="B25" s="8" t="s">
        <v>92</v>
      </c>
      <c r="C25" s="24">
        <v>600</v>
      </c>
      <c r="D25" s="10" t="s">
        <v>8</v>
      </c>
      <c r="E25" s="22">
        <f t="shared" si="3"/>
        <v>22.5</v>
      </c>
      <c r="F25" s="12">
        <v>130</v>
      </c>
      <c r="G25" s="12">
        <f t="shared" si="2"/>
        <v>78000</v>
      </c>
    </row>
    <row r="26" spans="1:8" x14ac:dyDescent="0.3">
      <c r="A26" s="7">
        <v>20</v>
      </c>
      <c r="B26" s="8" t="s">
        <v>23</v>
      </c>
      <c r="C26" s="24">
        <v>3100</v>
      </c>
      <c r="D26" s="10" t="s">
        <v>8</v>
      </c>
      <c r="E26" s="22">
        <f t="shared" ref="E26" si="4">(C26*0.0375)</f>
        <v>116.25</v>
      </c>
      <c r="F26" s="12">
        <v>130</v>
      </c>
      <c r="G26" s="12">
        <f t="shared" ref="G26" si="5">(C26*F26)</f>
        <v>403000</v>
      </c>
    </row>
    <row r="27" spans="1:8" x14ac:dyDescent="0.3">
      <c r="A27" s="7">
        <v>21</v>
      </c>
      <c r="B27" s="8" t="s">
        <v>22</v>
      </c>
      <c r="C27" s="24">
        <v>200</v>
      </c>
      <c r="D27" s="10" t="s">
        <v>8</v>
      </c>
      <c r="E27" s="22">
        <f t="shared" si="3"/>
        <v>7.5</v>
      </c>
      <c r="F27" s="12">
        <v>120</v>
      </c>
      <c r="G27" s="12">
        <f t="shared" si="2"/>
        <v>24000</v>
      </c>
    </row>
    <row r="28" spans="1:8" x14ac:dyDescent="0.3">
      <c r="A28" s="7">
        <v>22</v>
      </c>
      <c r="B28" s="8" t="s">
        <v>24</v>
      </c>
      <c r="C28" s="25">
        <v>100</v>
      </c>
      <c r="D28" s="10" t="s">
        <v>8</v>
      </c>
      <c r="E28" s="22">
        <f t="shared" si="3"/>
        <v>3.75</v>
      </c>
      <c r="F28" s="12">
        <v>120</v>
      </c>
      <c r="G28" s="12">
        <f t="shared" si="2"/>
        <v>12000</v>
      </c>
    </row>
    <row r="29" spans="1:8" x14ac:dyDescent="0.3">
      <c r="A29" s="7">
        <v>23</v>
      </c>
      <c r="B29" s="8" t="s">
        <v>25</v>
      </c>
      <c r="C29" s="26">
        <v>200</v>
      </c>
      <c r="D29" s="10" t="s">
        <v>8</v>
      </c>
      <c r="E29" s="22">
        <v>200</v>
      </c>
      <c r="F29" s="12">
        <v>2700</v>
      </c>
      <c r="G29" s="12">
        <f t="shared" si="2"/>
        <v>540000</v>
      </c>
    </row>
    <row r="30" spans="1:8" x14ac:dyDescent="0.3">
      <c r="A30" s="7">
        <v>24</v>
      </c>
      <c r="B30" s="8" t="s">
        <v>26</v>
      </c>
      <c r="C30" s="25">
        <v>50</v>
      </c>
      <c r="D30" s="10" t="s">
        <v>8</v>
      </c>
      <c r="E30" s="22">
        <f t="shared" si="3"/>
        <v>1.875</v>
      </c>
      <c r="F30" s="12">
        <v>130</v>
      </c>
      <c r="G30" s="12">
        <f t="shared" si="2"/>
        <v>6500</v>
      </c>
    </row>
    <row r="31" spans="1:8" x14ac:dyDescent="0.3">
      <c r="A31" s="7">
        <v>25</v>
      </c>
      <c r="B31" s="8" t="s">
        <v>27</v>
      </c>
      <c r="C31" s="25">
        <v>1080</v>
      </c>
      <c r="D31" s="10" t="s">
        <v>8</v>
      </c>
      <c r="E31" s="22">
        <v>48</v>
      </c>
      <c r="F31" s="12">
        <v>130</v>
      </c>
      <c r="G31" s="12">
        <f t="shared" si="2"/>
        <v>140400</v>
      </c>
    </row>
    <row r="32" spans="1:8" x14ac:dyDescent="0.3">
      <c r="A32" s="7">
        <v>26</v>
      </c>
      <c r="B32" s="8" t="s">
        <v>28</v>
      </c>
      <c r="C32" s="25">
        <v>1030</v>
      </c>
      <c r="D32" s="10" t="s">
        <v>8</v>
      </c>
      <c r="E32" s="22">
        <v>45</v>
      </c>
      <c r="F32" s="12">
        <v>130</v>
      </c>
      <c r="G32" s="12">
        <f t="shared" si="2"/>
        <v>133900</v>
      </c>
    </row>
    <row r="33" spans="1:7" x14ac:dyDescent="0.3">
      <c r="A33" s="7"/>
      <c r="B33" s="8"/>
      <c r="C33" s="25"/>
      <c r="D33" s="10"/>
      <c r="E33" s="27"/>
      <c r="F33" s="12"/>
      <c r="G33" s="28"/>
    </row>
    <row r="34" spans="1:7" x14ac:dyDescent="0.3">
      <c r="A34" s="7"/>
      <c r="B34" s="8"/>
      <c r="C34" s="17"/>
      <c r="D34" s="10"/>
      <c r="E34" s="18"/>
      <c r="F34" s="12"/>
      <c r="G34" s="19">
        <f>SUM(G17:G33)</f>
        <v>2811200</v>
      </c>
    </row>
    <row r="35" spans="1:7" s="6" customFormat="1" x14ac:dyDescent="0.3">
      <c r="A35" s="20"/>
      <c r="B35" s="3" t="s">
        <v>29</v>
      </c>
      <c r="C35" s="4" t="s">
        <v>30</v>
      </c>
      <c r="D35" s="3" t="s">
        <v>3</v>
      </c>
      <c r="E35" s="3" t="s">
        <v>4</v>
      </c>
      <c r="F35" s="5" t="s">
        <v>5</v>
      </c>
      <c r="G35" s="5"/>
    </row>
    <row r="36" spans="1:7" x14ac:dyDescent="0.3">
      <c r="A36" s="7">
        <v>27</v>
      </c>
      <c r="B36" s="8" t="s">
        <v>31</v>
      </c>
      <c r="C36" s="29">
        <v>300</v>
      </c>
      <c r="D36" s="10" t="s">
        <v>8</v>
      </c>
      <c r="E36" s="11">
        <f>(C36)</f>
        <v>300</v>
      </c>
      <c r="F36" s="12">
        <v>2700</v>
      </c>
      <c r="G36" s="12">
        <f>(F36*E36)</f>
        <v>810000</v>
      </c>
    </row>
    <row r="37" spans="1:7" x14ac:dyDescent="0.3">
      <c r="A37" s="7">
        <v>28</v>
      </c>
      <c r="B37" s="8" t="s">
        <v>32</v>
      </c>
      <c r="C37" s="29">
        <v>200</v>
      </c>
      <c r="D37" s="10" t="s">
        <v>8</v>
      </c>
      <c r="E37" s="11">
        <v>200</v>
      </c>
      <c r="F37" s="12">
        <v>2700</v>
      </c>
      <c r="G37" s="12">
        <f t="shared" ref="G37:G56" si="6">(F37*E37)</f>
        <v>540000</v>
      </c>
    </row>
    <row r="38" spans="1:7" x14ac:dyDescent="0.3">
      <c r="A38" s="7">
        <v>29</v>
      </c>
      <c r="B38" s="8" t="s">
        <v>33</v>
      </c>
      <c r="C38" s="29">
        <v>25</v>
      </c>
      <c r="D38" s="10" t="s">
        <v>8</v>
      </c>
      <c r="E38" s="11">
        <f t="shared" ref="E38:E62" si="7">(C38)</f>
        <v>25</v>
      </c>
      <c r="F38" s="12">
        <v>2700</v>
      </c>
      <c r="G38" s="12">
        <f t="shared" si="6"/>
        <v>67500</v>
      </c>
    </row>
    <row r="39" spans="1:7" x14ac:dyDescent="0.3">
      <c r="A39" s="7">
        <v>30</v>
      </c>
      <c r="B39" s="8" t="s">
        <v>34</v>
      </c>
      <c r="C39" s="29">
        <v>100</v>
      </c>
      <c r="D39" s="10" t="s">
        <v>8</v>
      </c>
      <c r="E39" s="11">
        <v>100</v>
      </c>
      <c r="F39" s="12">
        <v>2700</v>
      </c>
      <c r="G39" s="12">
        <f>(F39*E39)</f>
        <v>270000</v>
      </c>
    </row>
    <row r="40" spans="1:7" x14ac:dyDescent="0.3">
      <c r="A40" s="7">
        <v>31</v>
      </c>
      <c r="B40" s="8" t="s">
        <v>35</v>
      </c>
      <c r="C40" s="29">
        <v>100</v>
      </c>
      <c r="D40" s="10" t="s">
        <v>8</v>
      </c>
      <c r="E40" s="11">
        <v>100</v>
      </c>
      <c r="F40" s="12">
        <v>2700</v>
      </c>
      <c r="G40" s="12">
        <f>(F40*E40)</f>
        <v>270000</v>
      </c>
    </row>
    <row r="41" spans="1:7" x14ac:dyDescent="0.3">
      <c r="A41" s="7">
        <v>32</v>
      </c>
      <c r="B41" s="8" t="s">
        <v>36</v>
      </c>
      <c r="C41" s="29">
        <v>40</v>
      </c>
      <c r="D41" s="10" t="s">
        <v>8</v>
      </c>
      <c r="E41" s="11">
        <f t="shared" si="7"/>
        <v>40</v>
      </c>
      <c r="F41" s="12">
        <v>2700</v>
      </c>
      <c r="G41" s="12">
        <f t="shared" si="6"/>
        <v>108000</v>
      </c>
    </row>
    <row r="42" spans="1:7" x14ac:dyDescent="0.3">
      <c r="A42" s="7">
        <v>33</v>
      </c>
      <c r="B42" s="8" t="s">
        <v>37</v>
      </c>
      <c r="C42" s="29">
        <v>50</v>
      </c>
      <c r="D42" s="10" t="s">
        <v>8</v>
      </c>
      <c r="E42" s="11">
        <f t="shared" si="7"/>
        <v>50</v>
      </c>
      <c r="F42" s="12">
        <v>2700</v>
      </c>
      <c r="G42" s="12">
        <f t="shared" si="6"/>
        <v>135000</v>
      </c>
    </row>
    <row r="43" spans="1:7" x14ac:dyDescent="0.3">
      <c r="A43" s="7">
        <v>34</v>
      </c>
      <c r="B43" s="8" t="s">
        <v>38</v>
      </c>
      <c r="C43" s="29">
        <v>150</v>
      </c>
      <c r="D43" s="10" t="s">
        <v>8</v>
      </c>
      <c r="E43" s="11">
        <f t="shared" si="7"/>
        <v>150</v>
      </c>
      <c r="F43" s="12">
        <v>2700</v>
      </c>
      <c r="G43" s="12">
        <f t="shared" si="6"/>
        <v>405000</v>
      </c>
    </row>
    <row r="44" spans="1:7" x14ac:dyDescent="0.3">
      <c r="A44" s="7">
        <v>35</v>
      </c>
      <c r="B44" s="8" t="s">
        <v>39</v>
      </c>
      <c r="C44" s="29">
        <v>10</v>
      </c>
      <c r="D44" s="10" t="s">
        <v>8</v>
      </c>
      <c r="E44" s="11">
        <f t="shared" si="7"/>
        <v>10</v>
      </c>
      <c r="F44" s="12">
        <v>2700</v>
      </c>
      <c r="G44" s="12">
        <f t="shared" si="6"/>
        <v>27000</v>
      </c>
    </row>
    <row r="45" spans="1:7" x14ac:dyDescent="0.3">
      <c r="A45" s="7">
        <v>36</v>
      </c>
      <c r="B45" s="8" t="s">
        <v>94</v>
      </c>
      <c r="C45" s="29">
        <v>40</v>
      </c>
      <c r="D45" s="10" t="s">
        <v>8</v>
      </c>
      <c r="E45" s="11">
        <f t="shared" si="7"/>
        <v>40</v>
      </c>
      <c r="F45" s="12">
        <v>2700</v>
      </c>
      <c r="G45" s="12">
        <f t="shared" si="6"/>
        <v>108000</v>
      </c>
    </row>
    <row r="46" spans="1:7" x14ac:dyDescent="0.3">
      <c r="A46" s="7">
        <v>37</v>
      </c>
      <c r="B46" s="8" t="s">
        <v>40</v>
      </c>
      <c r="C46" s="29">
        <v>60</v>
      </c>
      <c r="D46" s="10" t="s">
        <v>8</v>
      </c>
      <c r="E46" s="11">
        <f t="shared" si="7"/>
        <v>60</v>
      </c>
      <c r="F46" s="12">
        <v>2700</v>
      </c>
      <c r="G46" s="12">
        <f t="shared" si="6"/>
        <v>162000</v>
      </c>
    </row>
    <row r="47" spans="1:7" x14ac:dyDescent="0.3">
      <c r="A47" s="7">
        <v>38</v>
      </c>
      <c r="B47" s="8" t="s">
        <v>41</v>
      </c>
      <c r="C47" s="29">
        <v>10</v>
      </c>
      <c r="D47" s="10" t="s">
        <v>8</v>
      </c>
      <c r="E47" s="11">
        <f t="shared" si="7"/>
        <v>10</v>
      </c>
      <c r="F47" s="12">
        <v>2700</v>
      </c>
      <c r="G47" s="12">
        <f t="shared" si="6"/>
        <v>27000</v>
      </c>
    </row>
    <row r="48" spans="1:7" x14ac:dyDescent="0.3">
      <c r="A48" s="7">
        <v>39</v>
      </c>
      <c r="B48" s="8" t="s">
        <v>42</v>
      </c>
      <c r="C48" s="29">
        <v>25</v>
      </c>
      <c r="D48" s="10" t="s">
        <v>8</v>
      </c>
      <c r="E48" s="11">
        <f t="shared" si="7"/>
        <v>25</v>
      </c>
      <c r="F48" s="12">
        <v>2700</v>
      </c>
      <c r="G48" s="12">
        <f t="shared" si="6"/>
        <v>67500</v>
      </c>
    </row>
    <row r="49" spans="1:8" x14ac:dyDescent="0.3">
      <c r="A49" s="7">
        <v>40</v>
      </c>
      <c r="B49" s="8" t="s">
        <v>43</v>
      </c>
      <c r="C49" s="29">
        <v>10</v>
      </c>
      <c r="D49" s="10" t="s">
        <v>8</v>
      </c>
      <c r="E49" s="11">
        <f t="shared" si="7"/>
        <v>10</v>
      </c>
      <c r="F49" s="12">
        <v>2700</v>
      </c>
      <c r="G49" s="12">
        <f t="shared" si="6"/>
        <v>27000</v>
      </c>
    </row>
    <row r="50" spans="1:8" x14ac:dyDescent="0.3">
      <c r="A50" s="7">
        <v>41</v>
      </c>
      <c r="B50" s="8" t="s">
        <v>44</v>
      </c>
      <c r="C50" s="29">
        <v>150</v>
      </c>
      <c r="D50" s="10" t="s">
        <v>8</v>
      </c>
      <c r="E50" s="11">
        <f t="shared" si="7"/>
        <v>150</v>
      </c>
      <c r="F50" s="12">
        <v>2700</v>
      </c>
      <c r="G50" s="12">
        <f t="shared" si="6"/>
        <v>405000</v>
      </c>
    </row>
    <row r="51" spans="1:8" x14ac:dyDescent="0.3">
      <c r="A51" s="7">
        <v>42</v>
      </c>
      <c r="B51" s="8" t="s">
        <v>45</v>
      </c>
      <c r="C51" s="29">
        <v>150</v>
      </c>
      <c r="D51" s="10" t="s">
        <v>8</v>
      </c>
      <c r="E51" s="11">
        <v>150</v>
      </c>
      <c r="F51" s="12">
        <v>2700</v>
      </c>
      <c r="G51" s="12">
        <f>(F51*E51)</f>
        <v>405000</v>
      </c>
      <c r="H51" s="16"/>
    </row>
    <row r="52" spans="1:8" x14ac:dyDescent="0.3">
      <c r="A52" s="7">
        <v>43</v>
      </c>
      <c r="B52" s="8" t="s">
        <v>46</v>
      </c>
      <c r="C52" s="29">
        <v>150</v>
      </c>
      <c r="D52" s="10" t="s">
        <v>8</v>
      </c>
      <c r="E52" s="11">
        <f>(C52)</f>
        <v>150</v>
      </c>
      <c r="F52" s="12">
        <v>2700</v>
      </c>
      <c r="G52" s="12">
        <f t="shared" si="6"/>
        <v>405000</v>
      </c>
    </row>
    <row r="53" spans="1:8" x14ac:dyDescent="0.3">
      <c r="A53" s="7">
        <v>44</v>
      </c>
      <c r="B53" s="18" t="s">
        <v>47</v>
      </c>
      <c r="C53" s="30">
        <v>160</v>
      </c>
      <c r="D53" s="10" t="s">
        <v>8</v>
      </c>
      <c r="E53" s="11">
        <f t="shared" si="7"/>
        <v>160</v>
      </c>
      <c r="F53" s="12">
        <v>2700</v>
      </c>
      <c r="G53" s="12">
        <f t="shared" si="6"/>
        <v>432000</v>
      </c>
    </row>
    <row r="54" spans="1:8" x14ac:dyDescent="0.3">
      <c r="A54" s="7">
        <v>45</v>
      </c>
      <c r="B54" s="18" t="s">
        <v>48</v>
      </c>
      <c r="C54" s="11">
        <v>100</v>
      </c>
      <c r="D54" s="10" t="s">
        <v>8</v>
      </c>
      <c r="E54" s="11">
        <f t="shared" si="7"/>
        <v>100</v>
      </c>
      <c r="F54" s="12">
        <v>2700</v>
      </c>
      <c r="G54" s="12">
        <f t="shared" si="6"/>
        <v>270000</v>
      </c>
    </row>
    <row r="55" spans="1:8" x14ac:dyDescent="0.3">
      <c r="A55" s="7">
        <v>46</v>
      </c>
      <c r="B55" s="7" t="s">
        <v>49</v>
      </c>
      <c r="C55" s="11">
        <v>150</v>
      </c>
      <c r="D55" s="10" t="s">
        <v>8</v>
      </c>
      <c r="E55" s="11">
        <f t="shared" si="7"/>
        <v>150</v>
      </c>
      <c r="F55" s="12">
        <v>2700</v>
      </c>
      <c r="G55" s="12">
        <f t="shared" si="6"/>
        <v>405000</v>
      </c>
    </row>
    <row r="56" spans="1:8" x14ac:dyDescent="0.3">
      <c r="A56" s="7">
        <v>47</v>
      </c>
      <c r="B56" s="18" t="s">
        <v>50</v>
      </c>
      <c r="C56" s="11">
        <v>10</v>
      </c>
      <c r="D56" s="10" t="s">
        <v>8</v>
      </c>
      <c r="E56" s="11">
        <f t="shared" si="7"/>
        <v>10</v>
      </c>
      <c r="F56" s="12">
        <v>2700</v>
      </c>
      <c r="G56" s="12">
        <f t="shared" si="6"/>
        <v>27000</v>
      </c>
    </row>
    <row r="57" spans="1:8" x14ac:dyDescent="0.3">
      <c r="A57" s="7">
        <v>48</v>
      </c>
      <c r="B57" s="18" t="s">
        <v>51</v>
      </c>
      <c r="C57" s="11">
        <v>30</v>
      </c>
      <c r="D57" s="10" t="s">
        <v>8</v>
      </c>
      <c r="E57" s="11">
        <f t="shared" si="7"/>
        <v>30</v>
      </c>
      <c r="F57" s="12">
        <v>2700</v>
      </c>
      <c r="G57" s="12">
        <f>(F57*E57)</f>
        <v>81000</v>
      </c>
    </row>
    <row r="58" spans="1:8" x14ac:dyDescent="0.3">
      <c r="A58" s="7">
        <v>49</v>
      </c>
      <c r="B58" s="18" t="s">
        <v>52</v>
      </c>
      <c r="C58" s="11">
        <v>20</v>
      </c>
      <c r="D58" s="10" t="s">
        <v>8</v>
      </c>
      <c r="E58" s="11">
        <f t="shared" si="7"/>
        <v>20</v>
      </c>
      <c r="F58" s="12">
        <v>2700</v>
      </c>
      <c r="G58" s="12">
        <f>(F58*E58)</f>
        <v>54000</v>
      </c>
    </row>
    <row r="59" spans="1:8" x14ac:dyDescent="0.3">
      <c r="A59" s="7">
        <v>50</v>
      </c>
      <c r="B59" s="18" t="s">
        <v>53</v>
      </c>
      <c r="C59" s="11">
        <v>100</v>
      </c>
      <c r="D59" s="10" t="s">
        <v>8</v>
      </c>
      <c r="E59" s="11">
        <f t="shared" si="7"/>
        <v>100</v>
      </c>
      <c r="F59" s="12">
        <v>2700</v>
      </c>
      <c r="G59" s="12">
        <f t="shared" ref="G59:G62" si="8">(F59*E59)</f>
        <v>270000</v>
      </c>
    </row>
    <row r="60" spans="1:8" x14ac:dyDescent="0.3">
      <c r="A60" s="7">
        <v>51</v>
      </c>
      <c r="B60" s="18" t="s">
        <v>54</v>
      </c>
      <c r="C60" s="11">
        <v>30</v>
      </c>
      <c r="D60" s="10" t="s">
        <v>8</v>
      </c>
      <c r="E60" s="11">
        <f t="shared" si="7"/>
        <v>30</v>
      </c>
      <c r="F60" s="12">
        <v>2700</v>
      </c>
      <c r="G60" s="12">
        <f t="shared" si="8"/>
        <v>81000</v>
      </c>
    </row>
    <row r="61" spans="1:8" x14ac:dyDescent="0.3">
      <c r="A61" s="7">
        <v>52</v>
      </c>
      <c r="B61" s="18" t="s">
        <v>102</v>
      </c>
      <c r="C61" s="11">
        <v>100</v>
      </c>
      <c r="D61" s="10" t="s">
        <v>8</v>
      </c>
      <c r="E61" s="11">
        <f t="shared" si="7"/>
        <v>100</v>
      </c>
      <c r="F61" s="12">
        <v>2700</v>
      </c>
      <c r="G61" s="12">
        <f t="shared" si="8"/>
        <v>270000</v>
      </c>
    </row>
    <row r="62" spans="1:8" x14ac:dyDescent="0.3">
      <c r="A62" s="7">
        <v>53</v>
      </c>
      <c r="B62" s="18" t="s">
        <v>103</v>
      </c>
      <c r="C62" s="11">
        <v>10</v>
      </c>
      <c r="D62" s="10" t="s">
        <v>8</v>
      </c>
      <c r="E62" s="11">
        <f t="shared" si="7"/>
        <v>10</v>
      </c>
      <c r="F62" s="12">
        <v>2700</v>
      </c>
      <c r="G62" s="12">
        <f t="shared" si="8"/>
        <v>27000</v>
      </c>
    </row>
    <row r="63" spans="1:8" x14ac:dyDescent="0.3">
      <c r="A63" s="7"/>
      <c r="B63" s="18"/>
      <c r="C63" s="68"/>
      <c r="D63" s="69"/>
      <c r="E63" s="11"/>
      <c r="F63" s="12"/>
      <c r="G63" s="12"/>
    </row>
    <row r="64" spans="1:8" x14ac:dyDescent="0.3">
      <c r="A64" s="7"/>
      <c r="B64" s="18"/>
      <c r="C64" s="104" t="s">
        <v>101</v>
      </c>
      <c r="D64" s="105"/>
      <c r="E64" s="11"/>
      <c r="F64" s="12"/>
      <c r="G64" s="19">
        <f>SUM(G36:G62)</f>
        <v>6156000</v>
      </c>
    </row>
    <row r="65" spans="1:7" s="6" customFormat="1" x14ac:dyDescent="0.3">
      <c r="A65" s="20"/>
      <c r="B65" s="3" t="s">
        <v>55</v>
      </c>
      <c r="C65" s="4" t="s">
        <v>30</v>
      </c>
      <c r="D65" s="3" t="s">
        <v>3</v>
      </c>
      <c r="E65" s="3" t="s">
        <v>4</v>
      </c>
      <c r="F65" s="5" t="s">
        <v>5</v>
      </c>
      <c r="G65" s="5"/>
    </row>
    <row r="66" spans="1:7" x14ac:dyDescent="0.3">
      <c r="A66" s="7">
        <v>54</v>
      </c>
      <c r="B66" s="31" t="s">
        <v>56</v>
      </c>
      <c r="C66" s="32">
        <v>800000</v>
      </c>
      <c r="D66" s="33" t="s">
        <v>57</v>
      </c>
      <c r="E66" s="34">
        <v>296.29629599999998</v>
      </c>
      <c r="F66" s="34">
        <v>2700</v>
      </c>
      <c r="G66" s="35">
        <f>(F66*E66)</f>
        <v>799999.99919999996</v>
      </c>
    </row>
    <row r="67" spans="1:7" x14ac:dyDescent="0.3">
      <c r="A67" s="7">
        <v>55</v>
      </c>
      <c r="B67" s="31" t="s">
        <v>58</v>
      </c>
      <c r="C67" s="32">
        <v>110000</v>
      </c>
      <c r="D67" s="33" t="s">
        <v>59</v>
      </c>
      <c r="E67" s="34">
        <v>40.74074074</v>
      </c>
      <c r="F67" s="34">
        <v>2700</v>
      </c>
      <c r="G67" s="35">
        <f t="shared" ref="G67:G71" si="9">(F67*E67)</f>
        <v>109999.999998</v>
      </c>
    </row>
    <row r="68" spans="1:7" x14ac:dyDescent="0.3">
      <c r="A68" s="7">
        <v>56</v>
      </c>
      <c r="B68" s="31" t="s">
        <v>60</v>
      </c>
      <c r="C68" s="32">
        <v>80000</v>
      </c>
      <c r="D68" s="33" t="s">
        <v>59</v>
      </c>
      <c r="E68" s="34">
        <v>29.629629619999999</v>
      </c>
      <c r="F68" s="34">
        <v>2700</v>
      </c>
      <c r="G68" s="35">
        <f t="shared" si="9"/>
        <v>79999.999973999991</v>
      </c>
    </row>
    <row r="69" spans="1:7" x14ac:dyDescent="0.3">
      <c r="A69" s="7">
        <v>57</v>
      </c>
      <c r="B69" s="31" t="s">
        <v>61</v>
      </c>
      <c r="C69" s="32">
        <v>30000</v>
      </c>
      <c r="D69" s="33" t="s">
        <v>59</v>
      </c>
      <c r="E69" s="34">
        <v>11.111110999999999</v>
      </c>
      <c r="F69" s="34">
        <v>2700</v>
      </c>
      <c r="G69" s="35">
        <f t="shared" si="9"/>
        <v>29999.999699999997</v>
      </c>
    </row>
    <row r="70" spans="1:7" x14ac:dyDescent="0.3">
      <c r="A70" s="7">
        <v>58</v>
      </c>
      <c r="B70" s="31" t="s">
        <v>62</v>
      </c>
      <c r="C70" s="32">
        <v>500000</v>
      </c>
      <c r="D70" s="33" t="s">
        <v>59</v>
      </c>
      <c r="E70" s="34">
        <v>185.18518518510001</v>
      </c>
      <c r="F70" s="34">
        <v>2700</v>
      </c>
      <c r="G70" s="35">
        <f>(E70*F70)</f>
        <v>499999.99999977002</v>
      </c>
    </row>
    <row r="71" spans="1:7" x14ac:dyDescent="0.3">
      <c r="A71" s="7">
        <v>59</v>
      </c>
      <c r="B71" s="31" t="s">
        <v>41</v>
      </c>
      <c r="C71" s="32">
        <v>70000</v>
      </c>
      <c r="D71" s="33" t="s">
        <v>59</v>
      </c>
      <c r="E71" s="34">
        <v>25.925925920000001</v>
      </c>
      <c r="F71" s="34">
        <v>2700</v>
      </c>
      <c r="G71" s="35">
        <f t="shared" si="9"/>
        <v>69999.999984000009</v>
      </c>
    </row>
    <row r="72" spans="1:7" s="39" customFormat="1" x14ac:dyDescent="0.3">
      <c r="A72" s="7"/>
      <c r="B72" s="7"/>
      <c r="C72" s="36"/>
      <c r="D72" s="10"/>
      <c r="E72" s="37"/>
      <c r="F72" s="37"/>
      <c r="G72" s="38"/>
    </row>
    <row r="73" spans="1:7" s="39" customFormat="1" x14ac:dyDescent="0.3">
      <c r="A73" s="7"/>
      <c r="B73" s="7"/>
      <c r="C73" s="36"/>
      <c r="D73" s="10"/>
      <c r="E73" s="40"/>
      <c r="F73" s="37"/>
      <c r="G73" s="41">
        <f>SUM(G66:G72)</f>
        <v>1589999.9988557701</v>
      </c>
    </row>
    <row r="74" spans="1:7" s="39" customFormat="1" x14ac:dyDescent="0.3">
      <c r="A74" s="7"/>
      <c r="B74" s="7"/>
      <c r="C74" s="36"/>
      <c r="D74" s="10"/>
      <c r="F74" s="42"/>
      <c r="G74" s="13"/>
    </row>
    <row r="75" spans="1:7" s="39" customFormat="1" x14ac:dyDescent="0.3">
      <c r="A75" s="7"/>
      <c r="B75" s="7"/>
      <c r="C75" s="36"/>
      <c r="D75" s="101" t="s">
        <v>63</v>
      </c>
      <c r="E75" s="101"/>
      <c r="F75" s="101"/>
      <c r="G75" s="43">
        <f>G15+G34+G64+G73</f>
        <v>12882099.998451227</v>
      </c>
    </row>
    <row r="76" spans="1:7" s="39" customFormat="1" x14ac:dyDescent="0.3">
      <c r="A76" s="7"/>
      <c r="B76" s="7"/>
      <c r="C76" s="36"/>
      <c r="D76" s="10"/>
      <c r="E76" s="42"/>
      <c r="F76" s="13"/>
      <c r="G76" s="13"/>
    </row>
    <row r="77" spans="1:7" s="39" customFormat="1" x14ac:dyDescent="0.3">
      <c r="A77" s="7"/>
      <c r="B77" s="44" t="s">
        <v>64</v>
      </c>
      <c r="C77" s="36"/>
      <c r="D77" s="10"/>
      <c r="E77" s="42"/>
      <c r="F77" s="13"/>
      <c r="G77" s="13"/>
    </row>
    <row r="78" spans="1:7" s="39" customFormat="1" x14ac:dyDescent="0.3">
      <c r="A78" s="7"/>
      <c r="B78" s="7"/>
      <c r="C78" s="36"/>
      <c r="D78" s="10"/>
      <c r="E78" s="42"/>
      <c r="F78" s="13"/>
      <c r="G78" s="13"/>
    </row>
    <row r="79" spans="1:7" x14ac:dyDescent="0.3">
      <c r="A79" s="7"/>
      <c r="B79" s="18" t="s">
        <v>100</v>
      </c>
      <c r="C79" s="45">
        <f>(2575*2780)</f>
        <v>7158500</v>
      </c>
      <c r="D79" s="10" t="s">
        <v>8</v>
      </c>
      <c r="E79" s="27"/>
      <c r="F79" s="46" t="s">
        <v>65</v>
      </c>
      <c r="G79" s="19">
        <f>(G75+C79)</f>
        <v>20040599.998451225</v>
      </c>
    </row>
    <row r="80" spans="1:7" s="39" customFormat="1" x14ac:dyDescent="0.3">
      <c r="A80" s="7"/>
      <c r="B80" s="7"/>
      <c r="C80" s="36"/>
      <c r="D80" s="10"/>
      <c r="E80" s="37"/>
      <c r="F80" s="13"/>
      <c r="G80" s="47"/>
    </row>
    <row r="81" spans="1:7" s="39" customFormat="1" x14ac:dyDescent="0.3">
      <c r="A81" s="7"/>
      <c r="B81" s="7"/>
      <c r="C81" s="48"/>
      <c r="D81" s="7"/>
      <c r="E81" s="37"/>
      <c r="F81" s="13"/>
      <c r="G81" s="47"/>
    </row>
    <row r="82" spans="1:7" x14ac:dyDescent="0.3">
      <c r="A82" s="7"/>
      <c r="B82" s="49" t="s">
        <v>66</v>
      </c>
      <c r="C82" s="50">
        <f>(500*31)</f>
        <v>15500</v>
      </c>
      <c r="D82" s="49" t="s">
        <v>67</v>
      </c>
      <c r="E82" s="50">
        <f>(C82)</f>
        <v>15500</v>
      </c>
      <c r="F82" s="12"/>
      <c r="G82" s="12"/>
    </row>
    <row r="83" spans="1:7" x14ac:dyDescent="0.3">
      <c r="A83" s="7"/>
      <c r="B83" s="49" t="s">
        <v>68</v>
      </c>
      <c r="C83" s="48"/>
      <c r="D83" s="7"/>
      <c r="E83" s="51">
        <f>(E82*2700)</f>
        <v>41850000</v>
      </c>
      <c r="F83" s="12"/>
      <c r="G83" s="12"/>
    </row>
    <row r="84" spans="1:7" x14ac:dyDescent="0.3">
      <c r="A84" s="7"/>
      <c r="B84" s="52" t="s">
        <v>69</v>
      </c>
      <c r="C84" s="53"/>
      <c r="D84" s="49"/>
      <c r="E84" s="42">
        <f>(G79/2700)</f>
        <v>7422.4444438708242</v>
      </c>
      <c r="F84" s="12"/>
      <c r="G84" s="12"/>
    </row>
    <row r="85" spans="1:7" x14ac:dyDescent="0.3">
      <c r="A85" s="7"/>
      <c r="B85" s="52" t="s">
        <v>70</v>
      </c>
      <c r="C85" s="53"/>
      <c r="D85" s="49"/>
      <c r="E85" s="54">
        <f>(G75+C79)</f>
        <v>20040599.998451225</v>
      </c>
      <c r="F85" s="12"/>
      <c r="G85" s="12"/>
    </row>
    <row r="86" spans="1:7" x14ac:dyDescent="0.3">
      <c r="A86" s="7"/>
      <c r="B86" s="52" t="s">
        <v>71</v>
      </c>
      <c r="C86" s="53"/>
      <c r="D86" s="52"/>
      <c r="E86" s="55">
        <f>(E87/2700)</f>
        <v>8077.5555561291758</v>
      </c>
      <c r="F86" s="12"/>
      <c r="G86" s="12"/>
    </row>
    <row r="87" spans="1:7" x14ac:dyDescent="0.3">
      <c r="A87" s="7"/>
      <c r="B87" s="52" t="s">
        <v>72</v>
      </c>
      <c r="C87" s="56"/>
      <c r="D87" s="18"/>
      <c r="E87" s="41">
        <f>(E83-E85)</f>
        <v>21809400.001548775</v>
      </c>
      <c r="F87" s="12"/>
      <c r="G87" s="13"/>
    </row>
    <row r="88" spans="1:7" x14ac:dyDescent="0.3">
      <c r="A88" s="7"/>
      <c r="B88" s="18"/>
      <c r="C88" s="56"/>
      <c r="D88" s="18"/>
      <c r="E88" s="18"/>
      <c r="F88" s="12"/>
      <c r="G88" s="12"/>
    </row>
    <row r="89" spans="1:7" s="59" customFormat="1" x14ac:dyDescent="0.3">
      <c r="A89" s="57"/>
      <c r="B89" s="58" t="s">
        <v>73</v>
      </c>
      <c r="C89" s="102" t="s">
        <v>74</v>
      </c>
      <c r="D89" s="102"/>
      <c r="E89" s="103" t="s">
        <v>75</v>
      </c>
      <c r="F89" s="103"/>
      <c r="G89" s="58" t="s">
        <v>76</v>
      </c>
    </row>
    <row r="90" spans="1:7" x14ac:dyDescent="0.3">
      <c r="A90" s="7"/>
      <c r="B90" s="94" t="s">
        <v>77</v>
      </c>
      <c r="C90" s="95" t="s">
        <v>78</v>
      </c>
      <c r="D90" s="95"/>
      <c r="E90" s="95"/>
      <c r="F90" s="95"/>
      <c r="G90" s="96"/>
    </row>
    <row r="91" spans="1:7" ht="34.200000000000003" customHeight="1" x14ac:dyDescent="0.3">
      <c r="A91" s="7"/>
      <c r="B91" s="94"/>
      <c r="C91" s="95"/>
      <c r="D91" s="95"/>
      <c r="E91" s="95"/>
      <c r="F91" s="95"/>
      <c r="G91" s="96"/>
    </row>
    <row r="92" spans="1:7" x14ac:dyDescent="0.3">
      <c r="A92" s="7"/>
      <c r="B92" s="60" t="s">
        <v>79</v>
      </c>
      <c r="C92" s="106" t="s">
        <v>80</v>
      </c>
      <c r="D92" s="107"/>
      <c r="E92" s="106" t="s">
        <v>81</v>
      </c>
      <c r="F92" s="107"/>
      <c r="G92" s="61" t="s">
        <v>82</v>
      </c>
    </row>
    <row r="93" spans="1:7" ht="54.6" customHeight="1" x14ac:dyDescent="0.3">
      <c r="A93" s="7"/>
      <c r="B93" s="62" t="s">
        <v>83</v>
      </c>
      <c r="C93" s="108" t="s">
        <v>84</v>
      </c>
      <c r="D93" s="109"/>
      <c r="E93" s="110"/>
      <c r="F93" s="111"/>
      <c r="G93" s="12"/>
    </row>
    <row r="94" spans="1:7" s="59" customFormat="1" x14ac:dyDescent="0.3">
      <c r="A94" s="57"/>
      <c r="B94" s="58" t="s">
        <v>85</v>
      </c>
      <c r="C94" s="102" t="s">
        <v>74</v>
      </c>
      <c r="D94" s="102"/>
      <c r="E94" s="103" t="s">
        <v>75</v>
      </c>
      <c r="F94" s="103"/>
      <c r="G94" s="58" t="s">
        <v>76</v>
      </c>
    </row>
    <row r="95" spans="1:7" x14ac:dyDescent="0.3">
      <c r="A95" s="7"/>
      <c r="B95" s="94" t="s">
        <v>86</v>
      </c>
      <c r="C95" s="95" t="s">
        <v>87</v>
      </c>
      <c r="D95" s="95"/>
      <c r="E95" s="94"/>
      <c r="F95" s="94"/>
      <c r="G95" s="96"/>
    </row>
    <row r="96" spans="1:7" ht="48" customHeight="1" x14ac:dyDescent="0.3">
      <c r="A96" s="7"/>
      <c r="B96" s="94"/>
      <c r="C96" s="95"/>
      <c r="D96" s="95"/>
      <c r="E96" s="94"/>
      <c r="F96" s="94"/>
      <c r="G96" s="96"/>
    </row>
  </sheetData>
  <mergeCells count="20">
    <mergeCell ref="B95:B96"/>
    <mergeCell ref="C95:D96"/>
    <mergeCell ref="E95:F96"/>
    <mergeCell ref="G95:G96"/>
    <mergeCell ref="C92:D92"/>
    <mergeCell ref="E92:F92"/>
    <mergeCell ref="C93:D93"/>
    <mergeCell ref="E93:F93"/>
    <mergeCell ref="C94:D94"/>
    <mergeCell ref="E94:F94"/>
    <mergeCell ref="B90:B91"/>
    <mergeCell ref="C90:D91"/>
    <mergeCell ref="E90:F91"/>
    <mergeCell ref="G90:G91"/>
    <mergeCell ref="A1:G1"/>
    <mergeCell ref="C2:E2"/>
    <mergeCell ref="D75:F75"/>
    <mergeCell ref="C89:D89"/>
    <mergeCell ref="E89:F89"/>
    <mergeCell ref="C64:D64"/>
  </mergeCells>
  <pageMargins left="0.7" right="0.7" top="0.75" bottom="0.75" header="0.3" footer="0.3"/>
  <pageSetup paperSize="9" scale="48" orientation="portrait" verticalDpi="0" r:id="rId1"/>
  <colBreaks count="1" manualBreakCount="1">
    <brk id="7" max="9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5" sqref="I1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zoomScaleNormal="100" workbookViewId="0">
      <selection activeCell="H9" sqref="H9"/>
    </sheetView>
  </sheetViews>
  <sheetFormatPr defaultColWidth="14.44140625" defaultRowHeight="13.8" x14ac:dyDescent="0.3"/>
  <cols>
    <col min="1" max="1" width="5" style="39" bestFit="1" customWidth="1"/>
    <col min="2" max="2" width="39.6640625" style="1" customWidth="1"/>
    <col min="3" max="3" width="19.109375" style="63" customWidth="1"/>
    <col min="4" max="4" width="19.88671875" style="1" customWidth="1"/>
    <col min="5" max="5" width="16.44140625" style="1" bestFit="1" customWidth="1"/>
    <col min="6" max="6" width="19.21875" style="64" customWidth="1"/>
    <col min="7" max="7" width="24.33203125" style="64" customWidth="1"/>
    <col min="8" max="18" width="30.88671875" style="1" customWidth="1"/>
    <col min="19" max="16384" width="14.44140625" style="1"/>
  </cols>
  <sheetData>
    <row r="1" spans="1:8" ht="42" customHeight="1" x14ac:dyDescent="0.3">
      <c r="A1" s="97" t="s">
        <v>104</v>
      </c>
      <c r="B1" s="97"/>
      <c r="C1" s="97"/>
      <c r="D1" s="97"/>
      <c r="E1" s="97"/>
      <c r="F1" s="97"/>
      <c r="G1" s="97"/>
    </row>
    <row r="2" spans="1:8" ht="29.4" customHeight="1" x14ac:dyDescent="0.3">
      <c r="A2" s="66"/>
      <c r="B2" s="66"/>
      <c r="C2" s="98" t="s">
        <v>105</v>
      </c>
      <c r="D2" s="99"/>
      <c r="E2" s="100"/>
      <c r="F2" s="66"/>
      <c r="G2" s="66"/>
    </row>
    <row r="3" spans="1:8" s="6" customFormat="1" x14ac:dyDescent="0.3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5" t="s">
        <v>5</v>
      </c>
      <c r="G3" s="5" t="s">
        <v>6</v>
      </c>
    </row>
    <row r="4" spans="1:8" ht="14.4" x14ac:dyDescent="0.3">
      <c r="A4" s="7">
        <v>1</v>
      </c>
      <c r="B4" s="8" t="s">
        <v>7</v>
      </c>
      <c r="C4" s="9">
        <v>2000000</v>
      </c>
      <c r="D4" s="10" t="s">
        <v>8</v>
      </c>
      <c r="E4" s="11">
        <v>740.74074074073997</v>
      </c>
      <c r="F4" s="12">
        <v>2700</v>
      </c>
      <c r="G4" s="12">
        <f>(F4*E4)</f>
        <v>1999999.9999999979</v>
      </c>
    </row>
    <row r="5" spans="1:8" ht="14.4" x14ac:dyDescent="0.3">
      <c r="A5" s="7">
        <v>2</v>
      </c>
      <c r="B5" s="8" t="s">
        <v>9</v>
      </c>
      <c r="C5" s="9">
        <v>15000</v>
      </c>
      <c r="D5" s="10" t="s">
        <v>8</v>
      </c>
      <c r="E5" s="11">
        <v>5.5555555549999998</v>
      </c>
      <c r="F5" s="12">
        <v>2700</v>
      </c>
      <c r="G5" s="12">
        <f>(F5*E5)</f>
        <v>14999.999998499999</v>
      </c>
    </row>
    <row r="6" spans="1:8" ht="14.4" x14ac:dyDescent="0.3">
      <c r="A6" s="7">
        <v>3</v>
      </c>
      <c r="B6" s="8" t="s">
        <v>10</v>
      </c>
      <c r="C6" s="9">
        <v>30000</v>
      </c>
      <c r="D6" s="10" t="s">
        <v>8</v>
      </c>
      <c r="E6" s="11">
        <v>11.1111111</v>
      </c>
      <c r="F6" s="12">
        <v>2700</v>
      </c>
      <c r="G6" s="12">
        <f>(F6*E6)</f>
        <v>29999.999970000001</v>
      </c>
    </row>
    <row r="7" spans="1:8" ht="14.4" x14ac:dyDescent="0.3">
      <c r="A7" s="7">
        <v>4</v>
      </c>
      <c r="B7" s="8" t="s">
        <v>95</v>
      </c>
      <c r="C7" s="9">
        <v>60000</v>
      </c>
      <c r="D7" s="10" t="s">
        <v>8</v>
      </c>
      <c r="E7" s="11">
        <v>22.222222200000001</v>
      </c>
      <c r="F7" s="12">
        <v>2700</v>
      </c>
      <c r="G7" s="12">
        <f>E7*F7</f>
        <v>59999.999940000002</v>
      </c>
    </row>
    <row r="8" spans="1:8" ht="14.4" x14ac:dyDescent="0.3">
      <c r="A8" s="7">
        <v>5</v>
      </c>
      <c r="B8" s="8" t="s">
        <v>11</v>
      </c>
      <c r="C8" s="9">
        <v>40000</v>
      </c>
      <c r="D8" s="10" t="s">
        <v>8</v>
      </c>
      <c r="E8" s="11">
        <v>14.8148148148</v>
      </c>
      <c r="F8" s="12">
        <v>2700</v>
      </c>
      <c r="G8" s="12">
        <f t="shared" ref="G8:G13" si="0">(F8*E8)</f>
        <v>39999.999999959997</v>
      </c>
    </row>
    <row r="9" spans="1:8" ht="14.4" x14ac:dyDescent="0.3">
      <c r="A9" s="7">
        <v>6</v>
      </c>
      <c r="B9" s="8" t="s">
        <v>12</v>
      </c>
      <c r="C9" s="9">
        <v>77500</v>
      </c>
      <c r="D9" s="10" t="s">
        <v>8</v>
      </c>
      <c r="E9" s="11">
        <v>28.703703699999998</v>
      </c>
      <c r="F9" s="13">
        <v>2700</v>
      </c>
      <c r="G9" s="12">
        <f>(F9*E9)</f>
        <v>77499.999989999997</v>
      </c>
    </row>
    <row r="10" spans="1:8" ht="14.4" x14ac:dyDescent="0.3">
      <c r="A10" s="7">
        <v>7</v>
      </c>
      <c r="B10" s="8" t="s">
        <v>98</v>
      </c>
      <c r="C10" s="9">
        <v>30000</v>
      </c>
      <c r="D10" s="10" t="s">
        <v>99</v>
      </c>
      <c r="E10" s="11">
        <v>11.111110999999999</v>
      </c>
      <c r="F10" s="13">
        <v>2700</v>
      </c>
      <c r="G10" s="12">
        <f>(F10*E10)</f>
        <v>29999.999699999997</v>
      </c>
    </row>
    <row r="11" spans="1:8" ht="14.4" x14ac:dyDescent="0.3">
      <c r="A11" s="7">
        <v>8</v>
      </c>
      <c r="B11" s="8" t="s">
        <v>13</v>
      </c>
      <c r="C11" s="9">
        <v>30000</v>
      </c>
      <c r="D11" s="10" t="s">
        <v>14</v>
      </c>
      <c r="E11" s="11">
        <v>11.11111111</v>
      </c>
      <c r="F11" s="12">
        <v>2700</v>
      </c>
      <c r="G11" s="12">
        <f t="shared" si="0"/>
        <v>29999.999996999999</v>
      </c>
    </row>
    <row r="12" spans="1:8" ht="14.4" x14ac:dyDescent="0.3">
      <c r="A12" s="7">
        <v>9</v>
      </c>
      <c r="B12" s="8" t="s">
        <v>15</v>
      </c>
      <c r="C12" s="14">
        <v>5</v>
      </c>
      <c r="D12" s="10" t="s">
        <v>16</v>
      </c>
      <c r="E12" s="11">
        <v>3.7037037037037002</v>
      </c>
      <c r="F12" s="12">
        <v>2700</v>
      </c>
      <c r="G12" s="67">
        <f t="shared" si="0"/>
        <v>9999.9999999999909</v>
      </c>
      <c r="H12" s="16"/>
    </row>
    <row r="13" spans="1:8" ht="14.4" x14ac:dyDescent="0.3">
      <c r="A13" s="7">
        <v>10</v>
      </c>
      <c r="B13" s="8" t="s">
        <v>17</v>
      </c>
      <c r="C13" s="14">
        <v>12</v>
      </c>
      <c r="D13" s="10" t="s">
        <v>8</v>
      </c>
      <c r="E13" s="11">
        <v>12</v>
      </c>
      <c r="F13" s="12">
        <v>2700</v>
      </c>
      <c r="G13" s="67">
        <f t="shared" si="0"/>
        <v>32400</v>
      </c>
      <c r="H13" s="16"/>
    </row>
    <row r="14" spans="1:8" ht="14.4" x14ac:dyDescent="0.3">
      <c r="A14" s="7"/>
      <c r="B14" s="8"/>
      <c r="C14" s="14"/>
      <c r="D14" s="10"/>
      <c r="E14" s="11"/>
      <c r="F14" s="12"/>
      <c r="G14" s="15"/>
      <c r="H14" s="16"/>
    </row>
    <row r="15" spans="1:8" ht="14.4" x14ac:dyDescent="0.3">
      <c r="A15" s="7"/>
      <c r="B15" s="8"/>
      <c r="C15" s="17"/>
      <c r="D15" s="10"/>
      <c r="E15" s="18"/>
      <c r="F15" s="12"/>
      <c r="G15" s="19">
        <f>SUM(G4:G14)</f>
        <v>2324899.9995954582</v>
      </c>
    </row>
    <row r="16" spans="1:8" s="6" customFormat="1" x14ac:dyDescent="0.3">
      <c r="A16" s="20"/>
      <c r="B16" s="3" t="s">
        <v>18</v>
      </c>
      <c r="C16" s="4" t="s">
        <v>2</v>
      </c>
      <c r="D16" s="3" t="s">
        <v>3</v>
      </c>
      <c r="E16" s="3" t="s">
        <v>4</v>
      </c>
      <c r="F16" s="5" t="s">
        <v>5</v>
      </c>
      <c r="G16" s="5"/>
    </row>
    <row r="17" spans="1:8" ht="14.4" x14ac:dyDescent="0.3">
      <c r="A17" s="7">
        <v>11</v>
      </c>
      <c r="B17" s="8" t="s">
        <v>19</v>
      </c>
      <c r="C17" s="21">
        <v>356</v>
      </c>
      <c r="D17" s="10" t="s">
        <v>8</v>
      </c>
      <c r="E17" s="22">
        <f>(C17)</f>
        <v>356</v>
      </c>
      <c r="F17" s="12">
        <v>2700</v>
      </c>
      <c r="G17" s="12">
        <f>(F17*E17)</f>
        <v>961200</v>
      </c>
    </row>
    <row r="18" spans="1:8" ht="14.4" x14ac:dyDescent="0.3">
      <c r="A18" s="7">
        <v>12</v>
      </c>
      <c r="B18" s="8" t="s">
        <v>20</v>
      </c>
      <c r="C18" s="23">
        <v>250</v>
      </c>
      <c r="D18" s="10" t="s">
        <v>8</v>
      </c>
      <c r="E18" s="22">
        <f t="shared" ref="E18" si="1">(C18*0.0375)</f>
        <v>9.375</v>
      </c>
      <c r="F18" s="12">
        <v>130</v>
      </c>
      <c r="G18" s="12">
        <f>(C18*F18)</f>
        <v>32500</v>
      </c>
    </row>
    <row r="19" spans="1:8" ht="14.4" x14ac:dyDescent="0.3">
      <c r="A19" s="7">
        <v>13</v>
      </c>
      <c r="B19" s="8" t="s">
        <v>88</v>
      </c>
      <c r="C19" s="24">
        <v>600</v>
      </c>
      <c r="D19" s="10" t="s">
        <v>8</v>
      </c>
      <c r="E19" s="22">
        <f>(C19*0.0375)</f>
        <v>22.5</v>
      </c>
      <c r="F19" s="12">
        <v>130</v>
      </c>
      <c r="G19" s="12">
        <f t="shared" ref="G19:G32" si="2">(C19*F19)</f>
        <v>78000</v>
      </c>
      <c r="H19" s="16"/>
    </row>
    <row r="20" spans="1:8" ht="14.4" x14ac:dyDescent="0.3">
      <c r="A20" s="7">
        <v>14</v>
      </c>
      <c r="B20" s="8" t="s">
        <v>21</v>
      </c>
      <c r="C20" s="24">
        <v>600</v>
      </c>
      <c r="D20" s="10" t="s">
        <v>8</v>
      </c>
      <c r="E20" s="22">
        <f t="shared" ref="E20:E30" si="3">(C20*0.0375)</f>
        <v>22.5</v>
      </c>
      <c r="F20" s="12">
        <v>130</v>
      </c>
      <c r="G20" s="12">
        <f t="shared" si="2"/>
        <v>78000</v>
      </c>
    </row>
    <row r="21" spans="1:8" ht="14.4" x14ac:dyDescent="0.3">
      <c r="A21" s="7">
        <v>15</v>
      </c>
      <c r="B21" s="8" t="s">
        <v>89</v>
      </c>
      <c r="C21" s="24">
        <v>600</v>
      </c>
      <c r="D21" s="10" t="s">
        <v>8</v>
      </c>
      <c r="E21" s="22">
        <f t="shared" si="3"/>
        <v>22.5</v>
      </c>
      <c r="F21" s="12">
        <v>130</v>
      </c>
      <c r="G21" s="12">
        <f t="shared" si="2"/>
        <v>78000</v>
      </c>
    </row>
    <row r="22" spans="1:8" ht="14.4" x14ac:dyDescent="0.3">
      <c r="A22" s="7">
        <v>16</v>
      </c>
      <c r="B22" s="8" t="s">
        <v>90</v>
      </c>
      <c r="C22" s="24">
        <v>600</v>
      </c>
      <c r="D22" s="10" t="s">
        <v>8</v>
      </c>
      <c r="E22" s="22">
        <f t="shared" si="3"/>
        <v>22.5</v>
      </c>
      <c r="F22" s="12">
        <v>130</v>
      </c>
      <c r="G22" s="12">
        <f t="shared" si="2"/>
        <v>78000</v>
      </c>
    </row>
    <row r="23" spans="1:8" ht="14.4" x14ac:dyDescent="0.3">
      <c r="A23" s="7">
        <v>17</v>
      </c>
      <c r="B23" s="8" t="s">
        <v>91</v>
      </c>
      <c r="C23" s="24">
        <v>600</v>
      </c>
      <c r="D23" s="10" t="s">
        <v>8</v>
      </c>
      <c r="E23" s="22">
        <f t="shared" si="3"/>
        <v>22.5</v>
      </c>
      <c r="F23" s="12">
        <v>130</v>
      </c>
      <c r="G23" s="12">
        <f t="shared" si="2"/>
        <v>78000</v>
      </c>
    </row>
    <row r="24" spans="1:8" ht="14.4" x14ac:dyDescent="0.3">
      <c r="A24" s="7">
        <v>18</v>
      </c>
      <c r="B24" s="8" t="s">
        <v>93</v>
      </c>
      <c r="C24" s="24">
        <v>690</v>
      </c>
      <c r="D24" s="10" t="s">
        <v>8</v>
      </c>
      <c r="E24" s="22">
        <f t="shared" si="3"/>
        <v>25.875</v>
      </c>
      <c r="F24" s="12">
        <v>130</v>
      </c>
      <c r="G24" s="12">
        <f t="shared" si="2"/>
        <v>89700</v>
      </c>
    </row>
    <row r="25" spans="1:8" ht="14.4" x14ac:dyDescent="0.3">
      <c r="A25" s="7">
        <v>19</v>
      </c>
      <c r="B25" s="8" t="s">
        <v>92</v>
      </c>
      <c r="C25" s="24">
        <v>600</v>
      </c>
      <c r="D25" s="10" t="s">
        <v>8</v>
      </c>
      <c r="E25" s="22">
        <f t="shared" si="3"/>
        <v>22.5</v>
      </c>
      <c r="F25" s="12">
        <v>130</v>
      </c>
      <c r="G25" s="12">
        <f t="shared" si="2"/>
        <v>78000</v>
      </c>
    </row>
    <row r="26" spans="1:8" ht="14.4" x14ac:dyDescent="0.3">
      <c r="A26" s="7">
        <v>20</v>
      </c>
      <c r="B26" s="8" t="s">
        <v>23</v>
      </c>
      <c r="C26" s="24">
        <v>3100</v>
      </c>
      <c r="D26" s="10" t="s">
        <v>8</v>
      </c>
      <c r="E26" s="22">
        <f t="shared" si="3"/>
        <v>116.25</v>
      </c>
      <c r="F26" s="12">
        <v>130</v>
      </c>
      <c r="G26" s="12">
        <f t="shared" si="2"/>
        <v>403000</v>
      </c>
    </row>
    <row r="27" spans="1:8" ht="14.4" x14ac:dyDescent="0.3">
      <c r="A27" s="7">
        <v>21</v>
      </c>
      <c r="B27" s="8" t="s">
        <v>22</v>
      </c>
      <c r="C27" s="24">
        <v>200</v>
      </c>
      <c r="D27" s="10" t="s">
        <v>8</v>
      </c>
      <c r="E27" s="22">
        <f t="shared" si="3"/>
        <v>7.5</v>
      </c>
      <c r="F27" s="12">
        <v>120</v>
      </c>
      <c r="G27" s="12">
        <f t="shared" si="2"/>
        <v>24000</v>
      </c>
    </row>
    <row r="28" spans="1:8" ht="14.4" x14ac:dyDescent="0.3">
      <c r="A28" s="7">
        <v>22</v>
      </c>
      <c r="B28" s="8" t="s">
        <v>24</v>
      </c>
      <c r="C28" s="25">
        <v>100</v>
      </c>
      <c r="D28" s="10" t="s">
        <v>8</v>
      </c>
      <c r="E28" s="22">
        <f t="shared" si="3"/>
        <v>3.75</v>
      </c>
      <c r="F28" s="12">
        <v>120</v>
      </c>
      <c r="G28" s="12">
        <f t="shared" si="2"/>
        <v>12000</v>
      </c>
    </row>
    <row r="29" spans="1:8" x14ac:dyDescent="0.3">
      <c r="A29" s="7">
        <v>23</v>
      </c>
      <c r="B29" s="8" t="s">
        <v>25</v>
      </c>
      <c r="C29" s="26">
        <v>200</v>
      </c>
      <c r="D29" s="10" t="s">
        <v>8</v>
      </c>
      <c r="E29" s="22">
        <v>200</v>
      </c>
      <c r="F29" s="12">
        <v>2700</v>
      </c>
      <c r="G29" s="12">
        <f t="shared" si="2"/>
        <v>540000</v>
      </c>
    </row>
    <row r="30" spans="1:8" x14ac:dyDescent="0.3">
      <c r="A30" s="7">
        <v>24</v>
      </c>
      <c r="B30" s="8" t="s">
        <v>26</v>
      </c>
      <c r="C30" s="25">
        <v>50</v>
      </c>
      <c r="D30" s="10" t="s">
        <v>8</v>
      </c>
      <c r="E30" s="22">
        <f t="shared" si="3"/>
        <v>1.875</v>
      </c>
      <c r="F30" s="12">
        <v>130</v>
      </c>
      <c r="G30" s="12">
        <f t="shared" si="2"/>
        <v>6500</v>
      </c>
    </row>
    <row r="31" spans="1:8" x14ac:dyDescent="0.3">
      <c r="A31" s="7">
        <v>25</v>
      </c>
      <c r="B31" s="8" t="s">
        <v>27</v>
      </c>
      <c r="C31" s="25">
        <v>1080</v>
      </c>
      <c r="D31" s="10" t="s">
        <v>8</v>
      </c>
      <c r="E31" s="22">
        <v>48</v>
      </c>
      <c r="F31" s="12">
        <v>130</v>
      </c>
      <c r="G31" s="12">
        <f t="shared" si="2"/>
        <v>140400</v>
      </c>
    </row>
    <row r="32" spans="1:8" x14ac:dyDescent="0.3">
      <c r="A32" s="7">
        <v>26</v>
      </c>
      <c r="B32" s="8" t="s">
        <v>28</v>
      </c>
      <c r="C32" s="25">
        <v>1030</v>
      </c>
      <c r="D32" s="10" t="s">
        <v>8</v>
      </c>
      <c r="E32" s="22">
        <v>45</v>
      </c>
      <c r="F32" s="12">
        <v>130</v>
      </c>
      <c r="G32" s="12">
        <f t="shared" si="2"/>
        <v>133900</v>
      </c>
    </row>
    <row r="33" spans="1:7" x14ac:dyDescent="0.3">
      <c r="A33" s="7"/>
      <c r="B33" s="8"/>
      <c r="C33" s="25"/>
      <c r="D33" s="10"/>
      <c r="E33" s="27"/>
      <c r="F33" s="12"/>
      <c r="G33" s="28"/>
    </row>
    <row r="34" spans="1:7" x14ac:dyDescent="0.3">
      <c r="A34" s="7"/>
      <c r="B34" s="8"/>
      <c r="C34" s="17"/>
      <c r="D34" s="10"/>
      <c r="E34" s="18"/>
      <c r="F34" s="12"/>
      <c r="G34" s="19">
        <f>SUM(G17:G33)</f>
        <v>2811200</v>
      </c>
    </row>
    <row r="35" spans="1:7" s="6" customFormat="1" x14ac:dyDescent="0.3">
      <c r="A35" s="20"/>
      <c r="B35" s="3" t="s">
        <v>29</v>
      </c>
      <c r="C35" s="4" t="s">
        <v>30</v>
      </c>
      <c r="D35" s="3" t="s">
        <v>3</v>
      </c>
      <c r="E35" s="3" t="s">
        <v>4</v>
      </c>
      <c r="F35" s="5" t="s">
        <v>5</v>
      </c>
      <c r="G35" s="5"/>
    </row>
    <row r="36" spans="1:7" x14ac:dyDescent="0.3">
      <c r="A36" s="7">
        <v>27</v>
      </c>
      <c r="B36" s="8" t="s">
        <v>31</v>
      </c>
      <c r="C36" s="29">
        <v>300</v>
      </c>
      <c r="D36" s="10" t="s">
        <v>8</v>
      </c>
      <c r="E36" s="11">
        <f>(C36)</f>
        <v>300</v>
      </c>
      <c r="F36" s="12">
        <v>2700</v>
      </c>
      <c r="G36" s="12">
        <f>(F36*E36)</f>
        <v>810000</v>
      </c>
    </row>
    <row r="37" spans="1:7" x14ac:dyDescent="0.3">
      <c r="A37" s="7">
        <v>28</v>
      </c>
      <c r="B37" s="8" t="s">
        <v>32</v>
      </c>
      <c r="C37" s="29">
        <v>200</v>
      </c>
      <c r="D37" s="10" t="s">
        <v>8</v>
      </c>
      <c r="E37" s="11">
        <v>200</v>
      </c>
      <c r="F37" s="12">
        <v>2700</v>
      </c>
      <c r="G37" s="12">
        <f t="shared" ref="G37:G56" si="4">(F37*E37)</f>
        <v>540000</v>
      </c>
    </row>
    <row r="38" spans="1:7" x14ac:dyDescent="0.3">
      <c r="A38" s="7">
        <v>29</v>
      </c>
      <c r="B38" s="8" t="s">
        <v>33</v>
      </c>
      <c r="C38" s="29">
        <v>25</v>
      </c>
      <c r="D38" s="10" t="s">
        <v>8</v>
      </c>
      <c r="E38" s="11">
        <f t="shared" ref="E38:E62" si="5">(C38)</f>
        <v>25</v>
      </c>
      <c r="F38" s="12">
        <v>2700</v>
      </c>
      <c r="G38" s="12">
        <f t="shared" si="4"/>
        <v>67500</v>
      </c>
    </row>
    <row r="39" spans="1:7" x14ac:dyDescent="0.3">
      <c r="A39" s="7">
        <v>30</v>
      </c>
      <c r="B39" s="8" t="s">
        <v>34</v>
      </c>
      <c r="C39" s="29">
        <v>100</v>
      </c>
      <c r="D39" s="10" t="s">
        <v>8</v>
      </c>
      <c r="E39" s="11">
        <v>100</v>
      </c>
      <c r="F39" s="12">
        <v>2700</v>
      </c>
      <c r="G39" s="12">
        <f>(F39*E39)</f>
        <v>270000</v>
      </c>
    </row>
    <row r="40" spans="1:7" x14ac:dyDescent="0.3">
      <c r="A40" s="7">
        <v>31</v>
      </c>
      <c r="B40" s="8" t="s">
        <v>35</v>
      </c>
      <c r="C40" s="29">
        <v>100</v>
      </c>
      <c r="D40" s="10" t="s">
        <v>8</v>
      </c>
      <c r="E40" s="11">
        <v>100</v>
      </c>
      <c r="F40" s="12">
        <v>2700</v>
      </c>
      <c r="G40" s="12">
        <f>(F40*E40)</f>
        <v>270000</v>
      </c>
    </row>
    <row r="41" spans="1:7" x14ac:dyDescent="0.3">
      <c r="A41" s="7">
        <v>32</v>
      </c>
      <c r="B41" s="8" t="s">
        <v>36</v>
      </c>
      <c r="C41" s="29">
        <v>40</v>
      </c>
      <c r="D41" s="10" t="s">
        <v>8</v>
      </c>
      <c r="E41" s="11">
        <f t="shared" si="5"/>
        <v>40</v>
      </c>
      <c r="F41" s="12">
        <v>2700</v>
      </c>
      <c r="G41" s="12">
        <f t="shared" si="4"/>
        <v>108000</v>
      </c>
    </row>
    <row r="42" spans="1:7" x14ac:dyDescent="0.3">
      <c r="A42" s="7">
        <v>33</v>
      </c>
      <c r="B42" s="8" t="s">
        <v>37</v>
      </c>
      <c r="C42" s="29">
        <v>50</v>
      </c>
      <c r="D42" s="10" t="s">
        <v>8</v>
      </c>
      <c r="E42" s="11">
        <f t="shared" si="5"/>
        <v>50</v>
      </c>
      <c r="F42" s="12">
        <v>2700</v>
      </c>
      <c r="G42" s="12">
        <f t="shared" si="4"/>
        <v>135000</v>
      </c>
    </row>
    <row r="43" spans="1:7" x14ac:dyDescent="0.3">
      <c r="A43" s="7">
        <v>34</v>
      </c>
      <c r="B43" s="8" t="s">
        <v>38</v>
      </c>
      <c r="C43" s="29">
        <v>150</v>
      </c>
      <c r="D43" s="10" t="s">
        <v>8</v>
      </c>
      <c r="E43" s="11">
        <f t="shared" si="5"/>
        <v>150</v>
      </c>
      <c r="F43" s="12">
        <v>2700</v>
      </c>
      <c r="G43" s="12">
        <f t="shared" si="4"/>
        <v>405000</v>
      </c>
    </row>
    <row r="44" spans="1:7" x14ac:dyDescent="0.3">
      <c r="A44" s="7">
        <v>35</v>
      </c>
      <c r="B44" s="8" t="s">
        <v>39</v>
      </c>
      <c r="C44" s="29">
        <v>10</v>
      </c>
      <c r="D44" s="10" t="s">
        <v>8</v>
      </c>
      <c r="E44" s="11">
        <f t="shared" si="5"/>
        <v>10</v>
      </c>
      <c r="F44" s="12">
        <v>2700</v>
      </c>
      <c r="G44" s="12">
        <f t="shared" si="4"/>
        <v>27000</v>
      </c>
    </row>
    <row r="45" spans="1:7" x14ac:dyDescent="0.3">
      <c r="A45" s="7">
        <v>36</v>
      </c>
      <c r="B45" s="8" t="s">
        <v>94</v>
      </c>
      <c r="C45" s="29">
        <v>40</v>
      </c>
      <c r="D45" s="10" t="s">
        <v>8</v>
      </c>
      <c r="E45" s="11">
        <f t="shared" si="5"/>
        <v>40</v>
      </c>
      <c r="F45" s="12">
        <v>2700</v>
      </c>
      <c r="G45" s="12">
        <f t="shared" si="4"/>
        <v>108000</v>
      </c>
    </row>
    <row r="46" spans="1:7" x14ac:dyDescent="0.3">
      <c r="A46" s="7">
        <v>37</v>
      </c>
      <c r="B46" s="8" t="s">
        <v>40</v>
      </c>
      <c r="C46" s="29">
        <v>60</v>
      </c>
      <c r="D46" s="10" t="s">
        <v>8</v>
      </c>
      <c r="E46" s="11">
        <f t="shared" si="5"/>
        <v>60</v>
      </c>
      <c r="F46" s="12">
        <v>2700</v>
      </c>
      <c r="G46" s="12">
        <f t="shared" si="4"/>
        <v>162000</v>
      </c>
    </row>
    <row r="47" spans="1:7" x14ac:dyDescent="0.3">
      <c r="A47" s="7">
        <v>38</v>
      </c>
      <c r="B47" s="8" t="s">
        <v>41</v>
      </c>
      <c r="C47" s="29">
        <v>10</v>
      </c>
      <c r="D47" s="10" t="s">
        <v>8</v>
      </c>
      <c r="E47" s="11">
        <f t="shared" si="5"/>
        <v>10</v>
      </c>
      <c r="F47" s="12">
        <v>2700</v>
      </c>
      <c r="G47" s="12">
        <f t="shared" si="4"/>
        <v>27000</v>
      </c>
    </row>
    <row r="48" spans="1:7" x14ac:dyDescent="0.3">
      <c r="A48" s="7">
        <v>39</v>
      </c>
      <c r="B48" s="8" t="s">
        <v>42</v>
      </c>
      <c r="C48" s="29">
        <v>25</v>
      </c>
      <c r="D48" s="10" t="s">
        <v>8</v>
      </c>
      <c r="E48" s="11">
        <f t="shared" si="5"/>
        <v>25</v>
      </c>
      <c r="F48" s="12">
        <v>2700</v>
      </c>
      <c r="G48" s="12">
        <f t="shared" si="4"/>
        <v>67500</v>
      </c>
    </row>
    <row r="49" spans="1:8" x14ac:dyDescent="0.3">
      <c r="A49" s="7">
        <v>40</v>
      </c>
      <c r="B49" s="8" t="s">
        <v>43</v>
      </c>
      <c r="C49" s="29">
        <v>10</v>
      </c>
      <c r="D49" s="10" t="s">
        <v>8</v>
      </c>
      <c r="E49" s="11">
        <f t="shared" si="5"/>
        <v>10</v>
      </c>
      <c r="F49" s="12">
        <v>2700</v>
      </c>
      <c r="G49" s="12">
        <f t="shared" si="4"/>
        <v>27000</v>
      </c>
    </row>
    <row r="50" spans="1:8" x14ac:dyDescent="0.3">
      <c r="A50" s="7">
        <v>41</v>
      </c>
      <c r="B50" s="8" t="s">
        <v>44</v>
      </c>
      <c r="C50" s="29">
        <v>150</v>
      </c>
      <c r="D50" s="10" t="s">
        <v>8</v>
      </c>
      <c r="E50" s="11">
        <f t="shared" si="5"/>
        <v>150</v>
      </c>
      <c r="F50" s="12">
        <v>2700</v>
      </c>
      <c r="G50" s="12">
        <f t="shared" si="4"/>
        <v>405000</v>
      </c>
    </row>
    <row r="51" spans="1:8" x14ac:dyDescent="0.3">
      <c r="A51" s="7">
        <v>42</v>
      </c>
      <c r="B51" s="8" t="s">
        <v>45</v>
      </c>
      <c r="C51" s="29">
        <v>150</v>
      </c>
      <c r="D51" s="10" t="s">
        <v>8</v>
      </c>
      <c r="E51" s="11">
        <v>150</v>
      </c>
      <c r="F51" s="12">
        <v>2700</v>
      </c>
      <c r="G51" s="12">
        <f>(F51*E51)</f>
        <v>405000</v>
      </c>
      <c r="H51" s="16"/>
    </row>
    <row r="52" spans="1:8" x14ac:dyDescent="0.3">
      <c r="A52" s="7">
        <v>43</v>
      </c>
      <c r="B52" s="8" t="s">
        <v>46</v>
      </c>
      <c r="C52" s="29">
        <v>150</v>
      </c>
      <c r="D52" s="10" t="s">
        <v>8</v>
      </c>
      <c r="E52" s="11">
        <f>(C52)</f>
        <v>150</v>
      </c>
      <c r="F52" s="12">
        <v>2700</v>
      </c>
      <c r="G52" s="12">
        <f t="shared" si="4"/>
        <v>405000</v>
      </c>
    </row>
    <row r="53" spans="1:8" x14ac:dyDescent="0.3">
      <c r="A53" s="7">
        <v>44</v>
      </c>
      <c r="B53" s="18" t="s">
        <v>47</v>
      </c>
      <c r="C53" s="30">
        <v>160</v>
      </c>
      <c r="D53" s="10" t="s">
        <v>8</v>
      </c>
      <c r="E53" s="11">
        <f t="shared" si="5"/>
        <v>160</v>
      </c>
      <c r="F53" s="12">
        <v>2700</v>
      </c>
      <c r="G53" s="12">
        <f t="shared" si="4"/>
        <v>432000</v>
      </c>
    </row>
    <row r="54" spans="1:8" x14ac:dyDescent="0.3">
      <c r="A54" s="7">
        <v>45</v>
      </c>
      <c r="B54" s="18" t="s">
        <v>48</v>
      </c>
      <c r="C54" s="11">
        <v>100</v>
      </c>
      <c r="D54" s="10" t="s">
        <v>8</v>
      </c>
      <c r="E54" s="11">
        <f t="shared" si="5"/>
        <v>100</v>
      </c>
      <c r="F54" s="12">
        <v>2700</v>
      </c>
      <c r="G54" s="12">
        <f t="shared" si="4"/>
        <v>270000</v>
      </c>
    </row>
    <row r="55" spans="1:8" x14ac:dyDescent="0.3">
      <c r="A55" s="7">
        <v>46</v>
      </c>
      <c r="B55" s="7" t="s">
        <v>49</v>
      </c>
      <c r="C55" s="11">
        <v>150</v>
      </c>
      <c r="D55" s="10" t="s">
        <v>8</v>
      </c>
      <c r="E55" s="11">
        <f t="shared" si="5"/>
        <v>150</v>
      </c>
      <c r="F55" s="12">
        <v>2700</v>
      </c>
      <c r="G55" s="12">
        <f t="shared" si="4"/>
        <v>405000</v>
      </c>
    </row>
    <row r="56" spans="1:8" x14ac:dyDescent="0.3">
      <c r="A56" s="7">
        <v>47</v>
      </c>
      <c r="B56" s="18" t="s">
        <v>50</v>
      </c>
      <c r="C56" s="11">
        <v>10</v>
      </c>
      <c r="D56" s="10" t="s">
        <v>8</v>
      </c>
      <c r="E56" s="11">
        <f t="shared" si="5"/>
        <v>10</v>
      </c>
      <c r="F56" s="12">
        <v>2700</v>
      </c>
      <c r="G56" s="12">
        <f t="shared" si="4"/>
        <v>27000</v>
      </c>
    </row>
    <row r="57" spans="1:8" x14ac:dyDescent="0.3">
      <c r="A57" s="7">
        <v>48</v>
      </c>
      <c r="B57" s="18" t="s">
        <v>51</v>
      </c>
      <c r="C57" s="11">
        <v>30</v>
      </c>
      <c r="D57" s="10" t="s">
        <v>8</v>
      </c>
      <c r="E57" s="11">
        <f t="shared" si="5"/>
        <v>30</v>
      </c>
      <c r="F57" s="12">
        <v>2700</v>
      </c>
      <c r="G57" s="12">
        <f>(F57*E57)</f>
        <v>81000</v>
      </c>
    </row>
    <row r="58" spans="1:8" x14ac:dyDescent="0.3">
      <c r="A58" s="7">
        <v>49</v>
      </c>
      <c r="B58" s="18" t="s">
        <v>52</v>
      </c>
      <c r="C58" s="11">
        <v>20</v>
      </c>
      <c r="D58" s="10" t="s">
        <v>8</v>
      </c>
      <c r="E58" s="11">
        <f t="shared" si="5"/>
        <v>20</v>
      </c>
      <c r="F58" s="12">
        <v>2700</v>
      </c>
      <c r="G58" s="12">
        <f>(F58*E58)</f>
        <v>54000</v>
      </c>
    </row>
    <row r="59" spans="1:8" x14ac:dyDescent="0.3">
      <c r="A59" s="7">
        <v>50</v>
      </c>
      <c r="B59" s="18" t="s">
        <v>53</v>
      </c>
      <c r="C59" s="11">
        <v>100</v>
      </c>
      <c r="D59" s="10" t="s">
        <v>8</v>
      </c>
      <c r="E59" s="11">
        <f t="shared" si="5"/>
        <v>100</v>
      </c>
      <c r="F59" s="12">
        <v>2700</v>
      </c>
      <c r="G59" s="12">
        <f t="shared" ref="G59:G62" si="6">(F59*E59)</f>
        <v>270000</v>
      </c>
    </row>
    <row r="60" spans="1:8" x14ac:dyDescent="0.3">
      <c r="A60" s="7">
        <v>51</v>
      </c>
      <c r="B60" s="18" t="s">
        <v>54</v>
      </c>
      <c r="C60" s="11">
        <v>30</v>
      </c>
      <c r="D60" s="10" t="s">
        <v>8</v>
      </c>
      <c r="E60" s="11">
        <f t="shared" si="5"/>
        <v>30</v>
      </c>
      <c r="F60" s="12">
        <v>2700</v>
      </c>
      <c r="G60" s="12">
        <f t="shared" si="6"/>
        <v>81000</v>
      </c>
    </row>
    <row r="61" spans="1:8" x14ac:dyDescent="0.3">
      <c r="A61" s="7">
        <v>52</v>
      </c>
      <c r="B61" s="18" t="s">
        <v>102</v>
      </c>
      <c r="C61" s="11">
        <v>100</v>
      </c>
      <c r="D61" s="10" t="s">
        <v>8</v>
      </c>
      <c r="E61" s="11">
        <f t="shared" si="5"/>
        <v>100</v>
      </c>
      <c r="F61" s="12">
        <v>2700</v>
      </c>
      <c r="G61" s="12">
        <f t="shared" si="6"/>
        <v>270000</v>
      </c>
    </row>
    <row r="62" spans="1:8" x14ac:dyDescent="0.3">
      <c r="A62" s="7">
        <v>53</v>
      </c>
      <c r="B62" s="18" t="s">
        <v>103</v>
      </c>
      <c r="C62" s="11">
        <v>10</v>
      </c>
      <c r="D62" s="10" t="s">
        <v>8</v>
      </c>
      <c r="E62" s="11">
        <f t="shared" si="5"/>
        <v>10</v>
      </c>
      <c r="F62" s="12">
        <v>2700</v>
      </c>
      <c r="G62" s="12">
        <f t="shared" si="6"/>
        <v>27000</v>
      </c>
    </row>
    <row r="63" spans="1:8" x14ac:dyDescent="0.3">
      <c r="A63" s="7"/>
      <c r="B63" s="18"/>
      <c r="C63" s="68"/>
      <c r="D63" s="69"/>
      <c r="E63" s="11"/>
      <c r="F63" s="12"/>
      <c r="G63" s="12"/>
    </row>
    <row r="64" spans="1:8" x14ac:dyDescent="0.3">
      <c r="A64" s="7"/>
      <c r="B64" s="18"/>
      <c r="C64" s="104" t="s">
        <v>101</v>
      </c>
      <c r="D64" s="105"/>
      <c r="E64" s="11"/>
      <c r="F64" s="12"/>
      <c r="G64" s="19">
        <f>SUM(G36:G62)</f>
        <v>6156000</v>
      </c>
    </row>
    <row r="65" spans="1:7" s="6" customFormat="1" x14ac:dyDescent="0.3">
      <c r="A65" s="20"/>
      <c r="B65" s="3" t="s">
        <v>55</v>
      </c>
      <c r="C65" s="4" t="s">
        <v>30</v>
      </c>
      <c r="D65" s="3" t="s">
        <v>3</v>
      </c>
      <c r="E65" s="3" t="s">
        <v>4</v>
      </c>
      <c r="F65" s="5" t="s">
        <v>5</v>
      </c>
      <c r="G65" s="5"/>
    </row>
    <row r="66" spans="1:7" x14ac:dyDescent="0.3">
      <c r="A66" s="7">
        <v>54</v>
      </c>
      <c r="B66" s="31" t="s">
        <v>56</v>
      </c>
      <c r="C66" s="32">
        <v>800000</v>
      </c>
      <c r="D66" s="33" t="s">
        <v>57</v>
      </c>
      <c r="E66" s="34">
        <v>296.29629599999998</v>
      </c>
      <c r="F66" s="34">
        <v>2700</v>
      </c>
      <c r="G66" s="35">
        <f>(F66*E66)</f>
        <v>799999.99919999996</v>
      </c>
    </row>
    <row r="67" spans="1:7" x14ac:dyDescent="0.3">
      <c r="A67" s="7">
        <v>55</v>
      </c>
      <c r="B67" s="31" t="s">
        <v>58</v>
      </c>
      <c r="C67" s="32">
        <v>110000</v>
      </c>
      <c r="D67" s="33" t="s">
        <v>59</v>
      </c>
      <c r="E67" s="34">
        <v>40.74074074</v>
      </c>
      <c r="F67" s="34">
        <v>2700</v>
      </c>
      <c r="G67" s="35">
        <f t="shared" ref="G67:G71" si="7">(F67*E67)</f>
        <v>109999.999998</v>
      </c>
    </row>
    <row r="68" spans="1:7" x14ac:dyDescent="0.3">
      <c r="A68" s="7">
        <v>56</v>
      </c>
      <c r="B68" s="31" t="s">
        <v>60</v>
      </c>
      <c r="C68" s="32">
        <v>80000</v>
      </c>
      <c r="D68" s="33" t="s">
        <v>59</v>
      </c>
      <c r="E68" s="34">
        <v>29.629629619999999</v>
      </c>
      <c r="F68" s="34">
        <v>2700</v>
      </c>
      <c r="G68" s="35">
        <f t="shared" si="7"/>
        <v>79999.999973999991</v>
      </c>
    </row>
    <row r="69" spans="1:7" x14ac:dyDescent="0.3">
      <c r="A69" s="7">
        <v>57</v>
      </c>
      <c r="B69" s="31" t="s">
        <v>61</v>
      </c>
      <c r="C69" s="32">
        <v>30000</v>
      </c>
      <c r="D69" s="33" t="s">
        <v>59</v>
      </c>
      <c r="E69" s="34">
        <v>11.111110999999999</v>
      </c>
      <c r="F69" s="34">
        <v>2700</v>
      </c>
      <c r="G69" s="35">
        <f t="shared" si="7"/>
        <v>29999.999699999997</v>
      </c>
    </row>
    <row r="70" spans="1:7" x14ac:dyDescent="0.3">
      <c r="A70" s="7">
        <v>58</v>
      </c>
      <c r="B70" s="31" t="s">
        <v>62</v>
      </c>
      <c r="C70" s="32">
        <v>500000</v>
      </c>
      <c r="D70" s="33" t="s">
        <v>59</v>
      </c>
      <c r="E70" s="34">
        <v>185.18518518510001</v>
      </c>
      <c r="F70" s="34">
        <v>2700</v>
      </c>
      <c r="G70" s="35">
        <f>(E70*F70)</f>
        <v>499999.99999977002</v>
      </c>
    </row>
    <row r="71" spans="1:7" x14ac:dyDescent="0.3">
      <c r="A71" s="7">
        <v>59</v>
      </c>
      <c r="B71" s="31" t="s">
        <v>41</v>
      </c>
      <c r="C71" s="32">
        <v>70000</v>
      </c>
      <c r="D71" s="33" t="s">
        <v>59</v>
      </c>
      <c r="E71" s="34">
        <v>25.925925920000001</v>
      </c>
      <c r="F71" s="34">
        <v>2700</v>
      </c>
      <c r="G71" s="35">
        <f t="shared" si="7"/>
        <v>69999.999984000009</v>
      </c>
    </row>
    <row r="72" spans="1:7" s="39" customFormat="1" x14ac:dyDescent="0.3">
      <c r="A72" s="7"/>
      <c r="B72" s="7"/>
      <c r="C72" s="36"/>
      <c r="D72" s="10"/>
      <c r="E72" s="37"/>
      <c r="F72" s="37"/>
      <c r="G72" s="38"/>
    </row>
    <row r="73" spans="1:7" s="39" customFormat="1" x14ac:dyDescent="0.3">
      <c r="A73" s="7"/>
      <c r="B73" s="7"/>
      <c r="C73" s="36"/>
      <c r="D73" s="10"/>
      <c r="E73" s="40"/>
      <c r="F73" s="37"/>
      <c r="G73" s="41">
        <f>SUM(G66:G72)</f>
        <v>1589999.9988557701</v>
      </c>
    </row>
    <row r="74" spans="1:7" s="39" customFormat="1" x14ac:dyDescent="0.3">
      <c r="A74" s="7"/>
      <c r="B74" s="7"/>
      <c r="C74" s="36"/>
      <c r="D74" s="10"/>
      <c r="F74" s="42"/>
      <c r="G74" s="13"/>
    </row>
    <row r="75" spans="1:7" s="39" customFormat="1" x14ac:dyDescent="0.3">
      <c r="A75" s="7"/>
      <c r="B75" s="7"/>
      <c r="C75" s="36"/>
      <c r="D75" s="101" t="s">
        <v>63</v>
      </c>
      <c r="E75" s="101"/>
      <c r="F75" s="101"/>
      <c r="G75" s="43">
        <f>G15+G34+G64+G73</f>
        <v>12882099.998451227</v>
      </c>
    </row>
    <row r="76" spans="1:7" s="39" customFormat="1" x14ac:dyDescent="0.3">
      <c r="A76" s="7"/>
      <c r="B76" s="7"/>
      <c r="C76" s="36"/>
      <c r="D76" s="10"/>
      <c r="E76" s="42"/>
      <c r="F76" s="13"/>
      <c r="G76" s="13"/>
    </row>
    <row r="77" spans="1:7" s="39" customFormat="1" x14ac:dyDescent="0.3">
      <c r="A77" s="7"/>
      <c r="B77" s="44" t="s">
        <v>64</v>
      </c>
      <c r="C77" s="36"/>
      <c r="D77" s="10"/>
      <c r="E77" s="42"/>
      <c r="F77" s="13"/>
      <c r="G77" s="13"/>
    </row>
    <row r="78" spans="1:7" s="39" customFormat="1" x14ac:dyDescent="0.3">
      <c r="A78" s="7"/>
      <c r="B78" s="7"/>
      <c r="C78" s="36"/>
      <c r="D78" s="10"/>
      <c r="E78" s="42"/>
      <c r="F78" s="13"/>
      <c r="G78" s="13"/>
    </row>
    <row r="79" spans="1:7" x14ac:dyDescent="0.3">
      <c r="A79" s="7"/>
      <c r="B79" s="18" t="s">
        <v>100</v>
      </c>
      <c r="C79" s="45">
        <f>(2575*2780)</f>
        <v>7158500</v>
      </c>
      <c r="D79" s="10" t="s">
        <v>8</v>
      </c>
      <c r="E79" s="27"/>
      <c r="F79" s="46" t="s">
        <v>65</v>
      </c>
      <c r="G79" s="19">
        <f>(G75+C79)</f>
        <v>20040599.998451225</v>
      </c>
    </row>
    <row r="80" spans="1:7" s="39" customFormat="1" x14ac:dyDescent="0.3">
      <c r="A80" s="7"/>
      <c r="B80" s="7"/>
      <c r="C80" s="36"/>
      <c r="D80" s="10"/>
      <c r="E80" s="37"/>
      <c r="F80" s="13"/>
      <c r="G80" s="47"/>
    </row>
    <row r="81" spans="1:7" s="39" customFormat="1" x14ac:dyDescent="0.3">
      <c r="A81" s="7"/>
      <c r="B81" s="7"/>
      <c r="C81" s="48"/>
      <c r="D81" s="7"/>
      <c r="E81" s="37"/>
      <c r="F81" s="13"/>
      <c r="G81" s="47"/>
    </row>
    <row r="82" spans="1:7" x14ac:dyDescent="0.3">
      <c r="A82" s="7"/>
      <c r="B82" s="49" t="s">
        <v>66</v>
      </c>
      <c r="C82" s="50">
        <f>(500*31)</f>
        <v>15500</v>
      </c>
      <c r="D82" s="49" t="s">
        <v>67</v>
      </c>
      <c r="E82" s="50">
        <f>(C82)</f>
        <v>15500</v>
      </c>
      <c r="F82" s="12"/>
      <c r="G82" s="12"/>
    </row>
    <row r="83" spans="1:7" x14ac:dyDescent="0.3">
      <c r="A83" s="7"/>
      <c r="B83" s="49" t="s">
        <v>68</v>
      </c>
      <c r="C83" s="48"/>
      <c r="D83" s="7"/>
      <c r="E83" s="51">
        <f>(E82*2700)</f>
        <v>41850000</v>
      </c>
      <c r="F83" s="12"/>
      <c r="G83" s="12"/>
    </row>
    <row r="84" spans="1:7" x14ac:dyDescent="0.3">
      <c r="A84" s="7"/>
      <c r="B84" s="52" t="s">
        <v>69</v>
      </c>
      <c r="C84" s="53"/>
      <c r="D84" s="49"/>
      <c r="E84" s="42">
        <f>(G79/2700)</f>
        <v>7422.4444438708242</v>
      </c>
      <c r="F84" s="12"/>
      <c r="G84" s="12"/>
    </row>
    <row r="85" spans="1:7" x14ac:dyDescent="0.3">
      <c r="A85" s="7"/>
      <c r="B85" s="52" t="s">
        <v>70</v>
      </c>
      <c r="C85" s="53"/>
      <c r="D85" s="49"/>
      <c r="E85" s="54">
        <f>(G75+C79)</f>
        <v>20040599.998451225</v>
      </c>
      <c r="F85" s="12"/>
      <c r="G85" s="12"/>
    </row>
    <row r="86" spans="1:7" x14ac:dyDescent="0.3">
      <c r="A86" s="7"/>
      <c r="B86" s="52" t="s">
        <v>71</v>
      </c>
      <c r="C86" s="53"/>
      <c r="D86" s="52"/>
      <c r="E86" s="55">
        <f>(E87/2700)</f>
        <v>8077.5555561291758</v>
      </c>
      <c r="F86" s="12"/>
      <c r="G86" s="12"/>
    </row>
    <row r="87" spans="1:7" x14ac:dyDescent="0.3">
      <c r="A87" s="7"/>
      <c r="B87" s="52" t="s">
        <v>72</v>
      </c>
      <c r="C87" s="56"/>
      <c r="D87" s="18"/>
      <c r="E87" s="41">
        <f>(E83-E85)</f>
        <v>21809400.001548775</v>
      </c>
      <c r="F87" s="12"/>
      <c r="G87" s="13"/>
    </row>
    <row r="88" spans="1:7" x14ac:dyDescent="0.3">
      <c r="A88" s="7"/>
      <c r="B88" s="18"/>
      <c r="C88" s="56"/>
      <c r="D88" s="18"/>
      <c r="E88" s="18"/>
      <c r="F88" s="12"/>
      <c r="G88" s="12"/>
    </row>
    <row r="89" spans="1:7" s="59" customFormat="1" x14ac:dyDescent="0.3">
      <c r="A89" s="57"/>
      <c r="B89" s="58" t="s">
        <v>73</v>
      </c>
      <c r="C89" s="102" t="s">
        <v>74</v>
      </c>
      <c r="D89" s="102"/>
      <c r="E89" s="103" t="s">
        <v>75</v>
      </c>
      <c r="F89" s="103"/>
      <c r="G89" s="58" t="s">
        <v>76</v>
      </c>
    </row>
    <row r="90" spans="1:7" x14ac:dyDescent="0.3">
      <c r="A90" s="7"/>
      <c r="B90" s="94" t="s">
        <v>77</v>
      </c>
      <c r="C90" s="95" t="s">
        <v>78</v>
      </c>
      <c r="D90" s="95"/>
      <c r="E90" s="95"/>
      <c r="F90" s="95"/>
      <c r="G90" s="96"/>
    </row>
    <row r="91" spans="1:7" ht="34.200000000000003" customHeight="1" x14ac:dyDescent="0.3">
      <c r="A91" s="7"/>
      <c r="B91" s="94"/>
      <c r="C91" s="95"/>
      <c r="D91" s="95"/>
      <c r="E91" s="95"/>
      <c r="F91" s="95"/>
      <c r="G91" s="96"/>
    </row>
    <row r="92" spans="1:7" x14ac:dyDescent="0.3">
      <c r="A92" s="7"/>
      <c r="B92" s="60" t="s">
        <v>79</v>
      </c>
      <c r="C92" s="106" t="s">
        <v>80</v>
      </c>
      <c r="D92" s="107"/>
      <c r="E92" s="106" t="s">
        <v>81</v>
      </c>
      <c r="F92" s="107"/>
      <c r="G92" s="61" t="s">
        <v>82</v>
      </c>
    </row>
    <row r="93" spans="1:7" ht="49.2" customHeight="1" x14ac:dyDescent="0.3">
      <c r="A93" s="7"/>
      <c r="B93" s="65" t="s">
        <v>83</v>
      </c>
      <c r="C93" s="108" t="s">
        <v>84</v>
      </c>
      <c r="D93" s="109"/>
      <c r="E93" s="110"/>
      <c r="F93" s="111"/>
      <c r="G93" s="12"/>
    </row>
    <row r="94" spans="1:7" s="59" customFormat="1" x14ac:dyDescent="0.3">
      <c r="A94" s="57"/>
      <c r="B94" s="58" t="s">
        <v>85</v>
      </c>
      <c r="C94" s="102" t="s">
        <v>74</v>
      </c>
      <c r="D94" s="102"/>
      <c r="E94" s="103" t="s">
        <v>75</v>
      </c>
      <c r="F94" s="103"/>
      <c r="G94" s="58" t="s">
        <v>76</v>
      </c>
    </row>
    <row r="95" spans="1:7" x14ac:dyDescent="0.3">
      <c r="A95" s="7"/>
      <c r="B95" s="94" t="s">
        <v>86</v>
      </c>
      <c r="C95" s="95" t="s">
        <v>87</v>
      </c>
      <c r="D95" s="95"/>
      <c r="E95" s="94"/>
      <c r="F95" s="94"/>
      <c r="G95" s="96"/>
    </row>
    <row r="96" spans="1:7" ht="50.4" customHeight="1" x14ac:dyDescent="0.3">
      <c r="A96" s="7"/>
      <c r="B96" s="94"/>
      <c r="C96" s="95"/>
      <c r="D96" s="95"/>
      <c r="E96" s="94"/>
      <c r="F96" s="94"/>
      <c r="G96" s="96"/>
    </row>
  </sheetData>
  <mergeCells count="20">
    <mergeCell ref="G90:G91"/>
    <mergeCell ref="C92:D92"/>
    <mergeCell ref="E92:F92"/>
    <mergeCell ref="A1:G1"/>
    <mergeCell ref="C2:E2"/>
    <mergeCell ref="C64:D64"/>
    <mergeCell ref="D75:F75"/>
    <mergeCell ref="C89:D89"/>
    <mergeCell ref="E89:F89"/>
    <mergeCell ref="B95:B96"/>
    <mergeCell ref="C95:D96"/>
    <mergeCell ref="E95:F96"/>
    <mergeCell ref="B90:B91"/>
    <mergeCell ref="C90:D91"/>
    <mergeCell ref="E90:F91"/>
    <mergeCell ref="G95:G96"/>
    <mergeCell ref="C93:D93"/>
    <mergeCell ref="E93:F93"/>
    <mergeCell ref="C94:D94"/>
    <mergeCell ref="E94:F94"/>
  </mergeCells>
  <pageMargins left="0.7" right="0.7" top="0.75" bottom="0.75" header="0.3" footer="0.3"/>
  <pageSetup paperSize="9" scale="47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zoomScaleNormal="100" workbookViewId="0">
      <selection sqref="A1:XFD1048576"/>
    </sheetView>
  </sheetViews>
  <sheetFormatPr defaultColWidth="14.44140625" defaultRowHeight="13.8" x14ac:dyDescent="0.3"/>
  <cols>
    <col min="1" max="1" width="5" style="39" bestFit="1" customWidth="1"/>
    <col min="2" max="2" width="39.6640625" style="1" customWidth="1"/>
    <col min="3" max="3" width="19.109375" style="63" customWidth="1"/>
    <col min="4" max="4" width="19.88671875" style="1" customWidth="1"/>
    <col min="5" max="5" width="16.44140625" style="1" bestFit="1" customWidth="1"/>
    <col min="6" max="6" width="19.21875" style="64" customWidth="1"/>
    <col min="7" max="7" width="24.33203125" style="64" customWidth="1"/>
    <col min="8" max="18" width="30.88671875" style="1" customWidth="1"/>
    <col min="19" max="16384" width="14.44140625" style="1"/>
  </cols>
  <sheetData>
    <row r="1" spans="1:8" ht="37.799999999999997" customHeight="1" x14ac:dyDescent="0.3">
      <c r="A1" s="97" t="s">
        <v>106</v>
      </c>
      <c r="B1" s="97"/>
      <c r="C1" s="97"/>
      <c r="D1" s="97"/>
      <c r="E1" s="97"/>
      <c r="F1" s="97"/>
      <c r="G1" s="97"/>
    </row>
    <row r="2" spans="1:8" ht="37.200000000000003" customHeight="1" x14ac:dyDescent="0.3">
      <c r="A2" s="66"/>
      <c r="B2" s="66"/>
      <c r="C2" s="98" t="s">
        <v>107</v>
      </c>
      <c r="D2" s="99"/>
      <c r="E2" s="100"/>
      <c r="F2" s="66"/>
      <c r="G2" s="66"/>
    </row>
    <row r="3" spans="1:8" s="6" customFormat="1" x14ac:dyDescent="0.3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5" t="s">
        <v>5</v>
      </c>
      <c r="G3" s="5" t="s">
        <v>6</v>
      </c>
    </row>
    <row r="4" spans="1:8" ht="14.4" x14ac:dyDescent="0.3">
      <c r="A4" s="7">
        <v>1</v>
      </c>
      <c r="B4" s="8" t="s">
        <v>7</v>
      </c>
      <c r="C4" s="9">
        <v>2000000</v>
      </c>
      <c r="D4" s="10" t="s">
        <v>8</v>
      </c>
      <c r="E4" s="11">
        <v>740.74074074073997</v>
      </c>
      <c r="F4" s="12">
        <v>2700</v>
      </c>
      <c r="G4" s="12">
        <f>(F4*E4)</f>
        <v>1999999.9999999979</v>
      </c>
    </row>
    <row r="5" spans="1:8" ht="14.4" x14ac:dyDescent="0.3">
      <c r="A5" s="7">
        <v>2</v>
      </c>
      <c r="B5" s="8" t="s">
        <v>9</v>
      </c>
      <c r="C5" s="9">
        <v>15000</v>
      </c>
      <c r="D5" s="10" t="s">
        <v>8</v>
      </c>
      <c r="E5" s="11">
        <v>5.5555555549999998</v>
      </c>
      <c r="F5" s="12">
        <v>2700</v>
      </c>
      <c r="G5" s="12">
        <f>(F5*E5)</f>
        <v>14999.999998499999</v>
      </c>
    </row>
    <row r="6" spans="1:8" ht="14.4" x14ac:dyDescent="0.3">
      <c r="A6" s="7">
        <v>3</v>
      </c>
      <c r="B6" s="8" t="s">
        <v>10</v>
      </c>
      <c r="C6" s="9">
        <v>30000</v>
      </c>
      <c r="D6" s="10" t="s">
        <v>8</v>
      </c>
      <c r="E6" s="11">
        <v>11.1111111</v>
      </c>
      <c r="F6" s="12">
        <v>2700</v>
      </c>
      <c r="G6" s="12">
        <f>(F6*E6)</f>
        <v>29999.999970000001</v>
      </c>
    </row>
    <row r="7" spans="1:8" ht="14.4" x14ac:dyDescent="0.3">
      <c r="A7" s="7">
        <v>4</v>
      </c>
      <c r="B7" s="8" t="s">
        <v>95</v>
      </c>
      <c r="C7" s="9">
        <v>60000</v>
      </c>
      <c r="D7" s="10" t="s">
        <v>8</v>
      </c>
      <c r="E7" s="11">
        <v>22.222222200000001</v>
      </c>
      <c r="F7" s="12">
        <v>2700</v>
      </c>
      <c r="G7" s="12">
        <f>E7*F7</f>
        <v>59999.999940000002</v>
      </c>
    </row>
    <row r="8" spans="1:8" ht="14.4" x14ac:dyDescent="0.3">
      <c r="A8" s="7">
        <v>5</v>
      </c>
      <c r="B8" s="8" t="s">
        <v>11</v>
      </c>
      <c r="C8" s="9">
        <v>40000</v>
      </c>
      <c r="D8" s="10" t="s">
        <v>8</v>
      </c>
      <c r="E8" s="11">
        <v>14.8148148148</v>
      </c>
      <c r="F8" s="12">
        <v>2700</v>
      </c>
      <c r="G8" s="12">
        <f t="shared" ref="G8:G13" si="0">(F8*E8)</f>
        <v>39999.999999959997</v>
      </c>
    </row>
    <row r="9" spans="1:8" ht="14.4" x14ac:dyDescent="0.3">
      <c r="A9" s="7">
        <v>6</v>
      </c>
      <c r="B9" s="8" t="s">
        <v>12</v>
      </c>
      <c r="C9" s="9">
        <v>77500</v>
      </c>
      <c r="D9" s="10" t="s">
        <v>8</v>
      </c>
      <c r="E9" s="11">
        <v>28.703703699999998</v>
      </c>
      <c r="F9" s="13">
        <v>2700</v>
      </c>
      <c r="G9" s="12">
        <f>(F9*E9)</f>
        <v>77499.999989999997</v>
      </c>
    </row>
    <row r="10" spans="1:8" ht="14.4" x14ac:dyDescent="0.3">
      <c r="A10" s="7">
        <v>7</v>
      </c>
      <c r="B10" s="8" t="s">
        <v>98</v>
      </c>
      <c r="C10" s="9">
        <v>30000</v>
      </c>
      <c r="D10" s="10" t="s">
        <v>99</v>
      </c>
      <c r="E10" s="11">
        <v>11.111110999999999</v>
      </c>
      <c r="F10" s="13">
        <v>2700</v>
      </c>
      <c r="G10" s="12">
        <f>(F10*E10)</f>
        <v>29999.999699999997</v>
      </c>
    </row>
    <row r="11" spans="1:8" ht="14.4" x14ac:dyDescent="0.3">
      <c r="A11" s="7">
        <v>8</v>
      </c>
      <c r="B11" s="8" t="s">
        <v>13</v>
      </c>
      <c r="C11" s="9">
        <v>30000</v>
      </c>
      <c r="D11" s="10" t="s">
        <v>14</v>
      </c>
      <c r="E11" s="11">
        <v>11.11111111</v>
      </c>
      <c r="F11" s="12">
        <v>2700</v>
      </c>
      <c r="G11" s="12">
        <f t="shared" si="0"/>
        <v>29999.999996999999</v>
      </c>
    </row>
    <row r="12" spans="1:8" ht="14.4" x14ac:dyDescent="0.3">
      <c r="A12" s="7">
        <v>9</v>
      </c>
      <c r="B12" s="8" t="s">
        <v>15</v>
      </c>
      <c r="C12" s="14">
        <v>5</v>
      </c>
      <c r="D12" s="10" t="s">
        <v>16</v>
      </c>
      <c r="E12" s="11">
        <v>3.7037037037037002</v>
      </c>
      <c r="F12" s="12">
        <v>2700</v>
      </c>
      <c r="G12" s="67">
        <f t="shared" si="0"/>
        <v>9999.9999999999909</v>
      </c>
      <c r="H12" s="16"/>
    </row>
    <row r="13" spans="1:8" ht="14.4" x14ac:dyDescent="0.3">
      <c r="A13" s="7">
        <v>10</v>
      </c>
      <c r="B13" s="8" t="s">
        <v>17</v>
      </c>
      <c r="C13" s="14">
        <v>12</v>
      </c>
      <c r="D13" s="10" t="s">
        <v>8</v>
      </c>
      <c r="E13" s="11">
        <v>12</v>
      </c>
      <c r="F13" s="12">
        <v>2700</v>
      </c>
      <c r="G13" s="67">
        <f t="shared" si="0"/>
        <v>32400</v>
      </c>
      <c r="H13" s="16"/>
    </row>
    <row r="14" spans="1:8" ht="14.4" x14ac:dyDescent="0.3">
      <c r="A14" s="7"/>
      <c r="B14" s="8"/>
      <c r="C14" s="14"/>
      <c r="D14" s="10"/>
      <c r="E14" s="11"/>
      <c r="F14" s="12"/>
      <c r="G14" s="15"/>
      <c r="H14" s="16"/>
    </row>
    <row r="15" spans="1:8" ht="14.4" x14ac:dyDescent="0.3">
      <c r="A15" s="7"/>
      <c r="B15" s="8"/>
      <c r="C15" s="17"/>
      <c r="D15" s="10"/>
      <c r="E15" s="18"/>
      <c r="F15" s="12"/>
      <c r="G15" s="19">
        <f>SUM(G4:G14)</f>
        <v>2324899.9995954582</v>
      </c>
    </row>
    <row r="16" spans="1:8" s="6" customFormat="1" x14ac:dyDescent="0.3">
      <c r="A16" s="20"/>
      <c r="B16" s="3" t="s">
        <v>18</v>
      </c>
      <c r="C16" s="4" t="s">
        <v>2</v>
      </c>
      <c r="D16" s="3" t="s">
        <v>3</v>
      </c>
      <c r="E16" s="3" t="s">
        <v>4</v>
      </c>
      <c r="F16" s="5" t="s">
        <v>5</v>
      </c>
      <c r="G16" s="5"/>
    </row>
    <row r="17" spans="1:8" ht="14.4" x14ac:dyDescent="0.3">
      <c r="A17" s="7">
        <v>11</v>
      </c>
      <c r="B17" s="8" t="s">
        <v>19</v>
      </c>
      <c r="C17" s="21">
        <v>356</v>
      </c>
      <c r="D17" s="10" t="s">
        <v>8</v>
      </c>
      <c r="E17" s="22">
        <f>(C17)</f>
        <v>356</v>
      </c>
      <c r="F17" s="12">
        <v>2700</v>
      </c>
      <c r="G17" s="12">
        <f>(F17*E17)</f>
        <v>961200</v>
      </c>
    </row>
    <row r="18" spans="1:8" ht="14.4" x14ac:dyDescent="0.3">
      <c r="A18" s="7">
        <v>12</v>
      </c>
      <c r="B18" s="8" t="s">
        <v>20</v>
      </c>
      <c r="C18" s="23">
        <v>250</v>
      </c>
      <c r="D18" s="10" t="s">
        <v>8</v>
      </c>
      <c r="E18" s="22">
        <f t="shared" ref="E18" si="1">(C18*0.0375)</f>
        <v>9.375</v>
      </c>
      <c r="F18" s="12">
        <v>130</v>
      </c>
      <c r="G18" s="12">
        <f>(C18*F18)</f>
        <v>32500</v>
      </c>
    </row>
    <row r="19" spans="1:8" ht="14.4" x14ac:dyDescent="0.3">
      <c r="A19" s="7">
        <v>13</v>
      </c>
      <c r="B19" s="8" t="s">
        <v>88</v>
      </c>
      <c r="C19" s="24">
        <v>600</v>
      </c>
      <c r="D19" s="10" t="s">
        <v>8</v>
      </c>
      <c r="E19" s="22">
        <f>(C19*0.0375)</f>
        <v>22.5</v>
      </c>
      <c r="F19" s="12">
        <v>130</v>
      </c>
      <c r="G19" s="12">
        <f t="shared" ref="G19:G32" si="2">(C19*F19)</f>
        <v>78000</v>
      </c>
      <c r="H19" s="16"/>
    </row>
    <row r="20" spans="1:8" ht="14.4" x14ac:dyDescent="0.3">
      <c r="A20" s="7">
        <v>14</v>
      </c>
      <c r="B20" s="8" t="s">
        <v>21</v>
      </c>
      <c r="C20" s="24">
        <v>600</v>
      </c>
      <c r="D20" s="10" t="s">
        <v>8</v>
      </c>
      <c r="E20" s="22">
        <f t="shared" ref="E20:E30" si="3">(C20*0.0375)</f>
        <v>22.5</v>
      </c>
      <c r="F20" s="12">
        <v>130</v>
      </c>
      <c r="G20" s="12">
        <f t="shared" si="2"/>
        <v>78000</v>
      </c>
    </row>
    <row r="21" spans="1:8" ht="14.4" x14ac:dyDescent="0.3">
      <c r="A21" s="7">
        <v>15</v>
      </c>
      <c r="B21" s="8" t="s">
        <v>89</v>
      </c>
      <c r="C21" s="24">
        <v>600</v>
      </c>
      <c r="D21" s="10" t="s">
        <v>8</v>
      </c>
      <c r="E21" s="22">
        <f t="shared" si="3"/>
        <v>22.5</v>
      </c>
      <c r="F21" s="12">
        <v>130</v>
      </c>
      <c r="G21" s="12">
        <f t="shared" si="2"/>
        <v>78000</v>
      </c>
    </row>
    <row r="22" spans="1:8" ht="14.4" x14ac:dyDescent="0.3">
      <c r="A22" s="7">
        <v>16</v>
      </c>
      <c r="B22" s="8" t="s">
        <v>90</v>
      </c>
      <c r="C22" s="24">
        <v>600</v>
      </c>
      <c r="D22" s="10" t="s">
        <v>8</v>
      </c>
      <c r="E22" s="22">
        <f t="shared" si="3"/>
        <v>22.5</v>
      </c>
      <c r="F22" s="12">
        <v>130</v>
      </c>
      <c r="G22" s="12">
        <f t="shared" si="2"/>
        <v>78000</v>
      </c>
    </row>
    <row r="23" spans="1:8" ht="14.4" x14ac:dyDescent="0.3">
      <c r="A23" s="7">
        <v>17</v>
      </c>
      <c r="B23" s="8" t="s">
        <v>91</v>
      </c>
      <c r="C23" s="24">
        <v>600</v>
      </c>
      <c r="D23" s="10" t="s">
        <v>8</v>
      </c>
      <c r="E23" s="22">
        <f t="shared" si="3"/>
        <v>22.5</v>
      </c>
      <c r="F23" s="12">
        <v>130</v>
      </c>
      <c r="G23" s="12">
        <f t="shared" si="2"/>
        <v>78000</v>
      </c>
    </row>
    <row r="24" spans="1:8" ht="14.4" x14ac:dyDescent="0.3">
      <c r="A24" s="7">
        <v>18</v>
      </c>
      <c r="B24" s="8" t="s">
        <v>93</v>
      </c>
      <c r="C24" s="24">
        <v>690</v>
      </c>
      <c r="D24" s="10" t="s">
        <v>8</v>
      </c>
      <c r="E24" s="22">
        <f t="shared" si="3"/>
        <v>25.875</v>
      </c>
      <c r="F24" s="12">
        <v>130</v>
      </c>
      <c r="G24" s="12">
        <f t="shared" si="2"/>
        <v>89700</v>
      </c>
    </row>
    <row r="25" spans="1:8" ht="14.4" x14ac:dyDescent="0.3">
      <c r="A25" s="7">
        <v>19</v>
      </c>
      <c r="B25" s="8" t="s">
        <v>92</v>
      </c>
      <c r="C25" s="24">
        <v>600</v>
      </c>
      <c r="D25" s="10" t="s">
        <v>8</v>
      </c>
      <c r="E25" s="22">
        <f t="shared" si="3"/>
        <v>22.5</v>
      </c>
      <c r="F25" s="12">
        <v>130</v>
      </c>
      <c r="G25" s="12">
        <f t="shared" si="2"/>
        <v>78000</v>
      </c>
    </row>
    <row r="26" spans="1:8" ht="14.4" x14ac:dyDescent="0.3">
      <c r="A26" s="7">
        <v>20</v>
      </c>
      <c r="B26" s="8" t="s">
        <v>23</v>
      </c>
      <c r="C26" s="24">
        <v>3100</v>
      </c>
      <c r="D26" s="10" t="s">
        <v>8</v>
      </c>
      <c r="E26" s="22">
        <f t="shared" si="3"/>
        <v>116.25</v>
      </c>
      <c r="F26" s="12">
        <v>130</v>
      </c>
      <c r="G26" s="12">
        <f t="shared" si="2"/>
        <v>403000</v>
      </c>
    </row>
    <row r="27" spans="1:8" ht="14.4" x14ac:dyDescent="0.3">
      <c r="A27" s="7">
        <v>21</v>
      </c>
      <c r="B27" s="8" t="s">
        <v>22</v>
      </c>
      <c r="C27" s="24">
        <v>200</v>
      </c>
      <c r="D27" s="10" t="s">
        <v>8</v>
      </c>
      <c r="E27" s="22">
        <f t="shared" si="3"/>
        <v>7.5</v>
      </c>
      <c r="F27" s="12">
        <v>120</v>
      </c>
      <c r="G27" s="12">
        <f t="shared" si="2"/>
        <v>24000</v>
      </c>
    </row>
    <row r="28" spans="1:8" x14ac:dyDescent="0.3">
      <c r="A28" s="7">
        <v>22</v>
      </c>
      <c r="B28" s="8" t="s">
        <v>24</v>
      </c>
      <c r="C28" s="25">
        <v>100</v>
      </c>
      <c r="D28" s="10" t="s">
        <v>8</v>
      </c>
      <c r="E28" s="22">
        <f t="shared" si="3"/>
        <v>3.75</v>
      </c>
      <c r="F28" s="12">
        <v>120</v>
      </c>
      <c r="G28" s="12">
        <f t="shared" si="2"/>
        <v>12000</v>
      </c>
    </row>
    <row r="29" spans="1:8" x14ac:dyDescent="0.3">
      <c r="A29" s="7">
        <v>23</v>
      </c>
      <c r="B29" s="8" t="s">
        <v>25</v>
      </c>
      <c r="C29" s="26">
        <v>200</v>
      </c>
      <c r="D29" s="10" t="s">
        <v>8</v>
      </c>
      <c r="E29" s="22">
        <v>200</v>
      </c>
      <c r="F29" s="12">
        <v>2700</v>
      </c>
      <c r="G29" s="12">
        <f t="shared" si="2"/>
        <v>540000</v>
      </c>
    </row>
    <row r="30" spans="1:8" x14ac:dyDescent="0.3">
      <c r="A30" s="7">
        <v>24</v>
      </c>
      <c r="B30" s="8" t="s">
        <v>26</v>
      </c>
      <c r="C30" s="25">
        <v>50</v>
      </c>
      <c r="D30" s="10" t="s">
        <v>8</v>
      </c>
      <c r="E30" s="22">
        <f t="shared" si="3"/>
        <v>1.875</v>
      </c>
      <c r="F30" s="12">
        <v>130</v>
      </c>
      <c r="G30" s="12">
        <f t="shared" si="2"/>
        <v>6500</v>
      </c>
    </row>
    <row r="31" spans="1:8" x14ac:dyDescent="0.3">
      <c r="A31" s="7">
        <v>25</v>
      </c>
      <c r="B31" s="8" t="s">
        <v>27</v>
      </c>
      <c r="C31" s="25">
        <v>1080</v>
      </c>
      <c r="D31" s="10" t="s">
        <v>8</v>
      </c>
      <c r="E31" s="22">
        <v>48</v>
      </c>
      <c r="F31" s="12">
        <v>130</v>
      </c>
      <c r="G31" s="12">
        <f t="shared" si="2"/>
        <v>140400</v>
      </c>
    </row>
    <row r="32" spans="1:8" x14ac:dyDescent="0.3">
      <c r="A32" s="7">
        <v>26</v>
      </c>
      <c r="B32" s="8" t="s">
        <v>28</v>
      </c>
      <c r="C32" s="25">
        <v>1030</v>
      </c>
      <c r="D32" s="10" t="s">
        <v>8</v>
      </c>
      <c r="E32" s="22">
        <v>45</v>
      </c>
      <c r="F32" s="12">
        <v>130</v>
      </c>
      <c r="G32" s="12">
        <f t="shared" si="2"/>
        <v>133900</v>
      </c>
    </row>
    <row r="33" spans="1:7" x14ac:dyDescent="0.3">
      <c r="A33" s="7"/>
      <c r="B33" s="8"/>
      <c r="C33" s="25"/>
      <c r="D33" s="10"/>
      <c r="E33" s="27"/>
      <c r="F33" s="12"/>
      <c r="G33" s="28"/>
    </row>
    <row r="34" spans="1:7" x14ac:dyDescent="0.3">
      <c r="A34" s="7"/>
      <c r="B34" s="8"/>
      <c r="C34" s="17"/>
      <c r="D34" s="10"/>
      <c r="E34" s="18"/>
      <c r="F34" s="12"/>
      <c r="G34" s="19">
        <f>SUM(G17:G33)</f>
        <v>2811200</v>
      </c>
    </row>
    <row r="35" spans="1:7" s="6" customFormat="1" x14ac:dyDescent="0.3">
      <c r="A35" s="20"/>
      <c r="B35" s="3" t="s">
        <v>29</v>
      </c>
      <c r="C35" s="4" t="s">
        <v>30</v>
      </c>
      <c r="D35" s="3" t="s">
        <v>3</v>
      </c>
      <c r="E35" s="3" t="s">
        <v>4</v>
      </c>
      <c r="F35" s="5" t="s">
        <v>5</v>
      </c>
      <c r="G35" s="5"/>
    </row>
    <row r="36" spans="1:7" x14ac:dyDescent="0.3">
      <c r="A36" s="7">
        <v>27</v>
      </c>
      <c r="B36" s="8" t="s">
        <v>31</v>
      </c>
      <c r="C36" s="29">
        <v>300</v>
      </c>
      <c r="D36" s="10" t="s">
        <v>8</v>
      </c>
      <c r="E36" s="11">
        <f>(C36)</f>
        <v>300</v>
      </c>
      <c r="F36" s="12">
        <v>2700</v>
      </c>
      <c r="G36" s="12">
        <f>(F36*E36)</f>
        <v>810000</v>
      </c>
    </row>
    <row r="37" spans="1:7" x14ac:dyDescent="0.3">
      <c r="A37" s="7">
        <v>28</v>
      </c>
      <c r="B37" s="8" t="s">
        <v>32</v>
      </c>
      <c r="C37" s="29">
        <v>200</v>
      </c>
      <c r="D37" s="10" t="s">
        <v>8</v>
      </c>
      <c r="E37" s="11">
        <v>200</v>
      </c>
      <c r="F37" s="12">
        <v>2700</v>
      </c>
      <c r="G37" s="12">
        <f t="shared" ref="G37:G55" si="4">(F37*E37)</f>
        <v>540000</v>
      </c>
    </row>
    <row r="38" spans="1:7" x14ac:dyDescent="0.3">
      <c r="A38" s="7">
        <v>29</v>
      </c>
      <c r="B38" s="8" t="s">
        <v>33</v>
      </c>
      <c r="C38" s="29">
        <v>25</v>
      </c>
      <c r="D38" s="10" t="s">
        <v>8</v>
      </c>
      <c r="E38" s="11">
        <f t="shared" ref="E38:E61" si="5">(C38)</f>
        <v>25</v>
      </c>
      <c r="F38" s="12">
        <v>2700</v>
      </c>
      <c r="G38" s="12">
        <f t="shared" si="4"/>
        <v>67500</v>
      </c>
    </row>
    <row r="39" spans="1:7" x14ac:dyDescent="0.3">
      <c r="A39" s="7">
        <v>31</v>
      </c>
      <c r="B39" s="8" t="s">
        <v>35</v>
      </c>
      <c r="C39" s="29">
        <v>100</v>
      </c>
      <c r="D39" s="10" t="s">
        <v>8</v>
      </c>
      <c r="E39" s="11">
        <v>100</v>
      </c>
      <c r="F39" s="12">
        <v>2700</v>
      </c>
      <c r="G39" s="12">
        <f>(F39*E39)</f>
        <v>270000</v>
      </c>
    </row>
    <row r="40" spans="1:7" x14ac:dyDescent="0.3">
      <c r="A40" s="7">
        <v>32</v>
      </c>
      <c r="B40" s="8" t="s">
        <v>36</v>
      </c>
      <c r="C40" s="29">
        <v>40</v>
      </c>
      <c r="D40" s="10" t="s">
        <v>8</v>
      </c>
      <c r="E40" s="11">
        <f t="shared" si="5"/>
        <v>40</v>
      </c>
      <c r="F40" s="12">
        <v>2700</v>
      </c>
      <c r="G40" s="12">
        <f t="shared" si="4"/>
        <v>108000</v>
      </c>
    </row>
    <row r="41" spans="1:7" x14ac:dyDescent="0.3">
      <c r="A41" s="7">
        <v>33</v>
      </c>
      <c r="B41" s="8" t="s">
        <v>37</v>
      </c>
      <c r="C41" s="29">
        <v>50</v>
      </c>
      <c r="D41" s="10" t="s">
        <v>8</v>
      </c>
      <c r="E41" s="11">
        <f t="shared" si="5"/>
        <v>50</v>
      </c>
      <c r="F41" s="12">
        <v>2700</v>
      </c>
      <c r="G41" s="12">
        <f t="shared" si="4"/>
        <v>135000</v>
      </c>
    </row>
    <row r="42" spans="1:7" x14ac:dyDescent="0.3">
      <c r="A42" s="7">
        <v>34</v>
      </c>
      <c r="B42" s="8" t="s">
        <v>38</v>
      </c>
      <c r="C42" s="29">
        <v>150</v>
      </c>
      <c r="D42" s="10" t="s">
        <v>8</v>
      </c>
      <c r="E42" s="11">
        <f t="shared" si="5"/>
        <v>150</v>
      </c>
      <c r="F42" s="12">
        <v>2700</v>
      </c>
      <c r="G42" s="12">
        <f t="shared" si="4"/>
        <v>405000</v>
      </c>
    </row>
    <row r="43" spans="1:7" x14ac:dyDescent="0.3">
      <c r="A43" s="7">
        <v>35</v>
      </c>
      <c r="B43" s="8" t="s">
        <v>39</v>
      </c>
      <c r="C43" s="29">
        <v>10</v>
      </c>
      <c r="D43" s="10" t="s">
        <v>8</v>
      </c>
      <c r="E43" s="11">
        <f t="shared" si="5"/>
        <v>10</v>
      </c>
      <c r="F43" s="12">
        <v>2700</v>
      </c>
      <c r="G43" s="12">
        <f t="shared" si="4"/>
        <v>27000</v>
      </c>
    </row>
    <row r="44" spans="1:7" x14ac:dyDescent="0.3">
      <c r="A44" s="7">
        <v>36</v>
      </c>
      <c r="B44" s="8" t="s">
        <v>94</v>
      </c>
      <c r="C44" s="29">
        <v>40</v>
      </c>
      <c r="D44" s="10" t="s">
        <v>8</v>
      </c>
      <c r="E44" s="11">
        <f t="shared" si="5"/>
        <v>40</v>
      </c>
      <c r="F44" s="12">
        <v>2700</v>
      </c>
      <c r="G44" s="12">
        <f t="shared" si="4"/>
        <v>108000</v>
      </c>
    </row>
    <row r="45" spans="1:7" x14ac:dyDescent="0.3">
      <c r="A45" s="7">
        <v>37</v>
      </c>
      <c r="B45" s="8" t="s">
        <v>40</v>
      </c>
      <c r="C45" s="29">
        <v>60</v>
      </c>
      <c r="D45" s="10" t="s">
        <v>8</v>
      </c>
      <c r="E45" s="11">
        <f t="shared" si="5"/>
        <v>60</v>
      </c>
      <c r="F45" s="12">
        <v>2700</v>
      </c>
      <c r="G45" s="12">
        <f t="shared" si="4"/>
        <v>162000</v>
      </c>
    </row>
    <row r="46" spans="1:7" x14ac:dyDescent="0.3">
      <c r="A46" s="7">
        <v>38</v>
      </c>
      <c r="B46" s="8" t="s">
        <v>41</v>
      </c>
      <c r="C46" s="29">
        <v>10</v>
      </c>
      <c r="D46" s="10" t="s">
        <v>8</v>
      </c>
      <c r="E46" s="11">
        <f t="shared" si="5"/>
        <v>10</v>
      </c>
      <c r="F46" s="12">
        <v>2700</v>
      </c>
      <c r="G46" s="12">
        <f t="shared" si="4"/>
        <v>27000</v>
      </c>
    </row>
    <row r="47" spans="1:7" x14ac:dyDescent="0.3">
      <c r="A47" s="7">
        <v>39</v>
      </c>
      <c r="B47" s="8" t="s">
        <v>42</v>
      </c>
      <c r="C47" s="29">
        <v>25</v>
      </c>
      <c r="D47" s="10" t="s">
        <v>8</v>
      </c>
      <c r="E47" s="11">
        <f t="shared" si="5"/>
        <v>25</v>
      </c>
      <c r="F47" s="12">
        <v>2700</v>
      </c>
      <c r="G47" s="12">
        <f t="shared" si="4"/>
        <v>67500</v>
      </c>
    </row>
    <row r="48" spans="1:7" x14ac:dyDescent="0.3">
      <c r="A48" s="7">
        <v>40</v>
      </c>
      <c r="B48" s="8" t="s">
        <v>43</v>
      </c>
      <c r="C48" s="29">
        <v>10</v>
      </c>
      <c r="D48" s="10" t="s">
        <v>8</v>
      </c>
      <c r="E48" s="11">
        <f t="shared" si="5"/>
        <v>10</v>
      </c>
      <c r="F48" s="12">
        <v>2700</v>
      </c>
      <c r="G48" s="12">
        <f t="shared" si="4"/>
        <v>27000</v>
      </c>
    </row>
    <row r="49" spans="1:8" x14ac:dyDescent="0.3">
      <c r="A49" s="7">
        <v>41</v>
      </c>
      <c r="B49" s="8" t="s">
        <v>44</v>
      </c>
      <c r="C49" s="29">
        <v>150</v>
      </c>
      <c r="D49" s="10" t="s">
        <v>8</v>
      </c>
      <c r="E49" s="11">
        <f t="shared" si="5"/>
        <v>150</v>
      </c>
      <c r="F49" s="12">
        <v>2700</v>
      </c>
      <c r="G49" s="12">
        <f t="shared" si="4"/>
        <v>405000</v>
      </c>
    </row>
    <row r="50" spans="1:8" x14ac:dyDescent="0.3">
      <c r="A50" s="7">
        <v>42</v>
      </c>
      <c r="B50" s="8" t="s">
        <v>45</v>
      </c>
      <c r="C50" s="29">
        <v>150</v>
      </c>
      <c r="D50" s="10" t="s">
        <v>8</v>
      </c>
      <c r="E50" s="11">
        <v>150</v>
      </c>
      <c r="F50" s="12">
        <v>2700</v>
      </c>
      <c r="G50" s="12">
        <f>(F50*E50)</f>
        <v>405000</v>
      </c>
      <c r="H50" s="16"/>
    </row>
    <row r="51" spans="1:8" x14ac:dyDescent="0.3">
      <c r="A51" s="7">
        <v>43</v>
      </c>
      <c r="B51" s="8" t="s">
        <v>46</v>
      </c>
      <c r="C51" s="29">
        <v>150</v>
      </c>
      <c r="D51" s="10" t="s">
        <v>8</v>
      </c>
      <c r="E51" s="11">
        <f>(C51)</f>
        <v>150</v>
      </c>
      <c r="F51" s="12">
        <v>2700</v>
      </c>
      <c r="G51" s="12">
        <f t="shared" si="4"/>
        <v>405000</v>
      </c>
    </row>
    <row r="52" spans="1:8" x14ac:dyDescent="0.3">
      <c r="A52" s="7">
        <v>44</v>
      </c>
      <c r="B52" s="18" t="s">
        <v>47</v>
      </c>
      <c r="C52" s="30">
        <v>160</v>
      </c>
      <c r="D52" s="10" t="s">
        <v>8</v>
      </c>
      <c r="E52" s="11">
        <f t="shared" si="5"/>
        <v>160</v>
      </c>
      <c r="F52" s="12">
        <v>2700</v>
      </c>
      <c r="G52" s="12">
        <f t="shared" si="4"/>
        <v>432000</v>
      </c>
    </row>
    <row r="53" spans="1:8" x14ac:dyDescent="0.3">
      <c r="A53" s="7">
        <v>45</v>
      </c>
      <c r="B53" s="18" t="s">
        <v>48</v>
      </c>
      <c r="C53" s="11">
        <v>100</v>
      </c>
      <c r="D53" s="10" t="s">
        <v>8</v>
      </c>
      <c r="E53" s="11">
        <f t="shared" si="5"/>
        <v>100</v>
      </c>
      <c r="F53" s="12">
        <v>2700</v>
      </c>
      <c r="G53" s="12">
        <f t="shared" si="4"/>
        <v>270000</v>
      </c>
    </row>
    <row r="54" spans="1:8" x14ac:dyDescent="0.3">
      <c r="A54" s="7">
        <v>46</v>
      </c>
      <c r="B54" s="7" t="s">
        <v>49</v>
      </c>
      <c r="C54" s="11">
        <v>150</v>
      </c>
      <c r="D54" s="10" t="s">
        <v>8</v>
      </c>
      <c r="E54" s="11">
        <f t="shared" si="5"/>
        <v>150</v>
      </c>
      <c r="F54" s="12">
        <v>2700</v>
      </c>
      <c r="G54" s="12">
        <f t="shared" si="4"/>
        <v>405000</v>
      </c>
    </row>
    <row r="55" spans="1:8" x14ac:dyDescent="0.3">
      <c r="A55" s="7">
        <v>47</v>
      </c>
      <c r="B55" s="18" t="s">
        <v>50</v>
      </c>
      <c r="C55" s="11">
        <v>10</v>
      </c>
      <c r="D55" s="10" t="s">
        <v>8</v>
      </c>
      <c r="E55" s="11">
        <f t="shared" si="5"/>
        <v>10</v>
      </c>
      <c r="F55" s="12">
        <v>2700</v>
      </c>
      <c r="G55" s="12">
        <f t="shared" si="4"/>
        <v>27000</v>
      </c>
    </row>
    <row r="56" spans="1:8" x14ac:dyDescent="0.3">
      <c r="A56" s="7">
        <v>48</v>
      </c>
      <c r="B56" s="18" t="s">
        <v>51</v>
      </c>
      <c r="C56" s="11">
        <v>30</v>
      </c>
      <c r="D56" s="10" t="s">
        <v>8</v>
      </c>
      <c r="E56" s="11">
        <f t="shared" si="5"/>
        <v>30</v>
      </c>
      <c r="F56" s="12">
        <v>2700</v>
      </c>
      <c r="G56" s="12">
        <f>(F56*E56)</f>
        <v>81000</v>
      </c>
    </row>
    <row r="57" spans="1:8" x14ac:dyDescent="0.3">
      <c r="A57" s="7">
        <v>49</v>
      </c>
      <c r="B57" s="18" t="s">
        <v>52</v>
      </c>
      <c r="C57" s="11">
        <v>20</v>
      </c>
      <c r="D57" s="10" t="s">
        <v>8</v>
      </c>
      <c r="E57" s="11">
        <f t="shared" si="5"/>
        <v>20</v>
      </c>
      <c r="F57" s="12">
        <v>2700</v>
      </c>
      <c r="G57" s="12">
        <f>(F57*E57)</f>
        <v>54000</v>
      </c>
    </row>
    <row r="58" spans="1:8" x14ac:dyDescent="0.3">
      <c r="A58" s="7">
        <v>50</v>
      </c>
      <c r="B58" s="18" t="s">
        <v>53</v>
      </c>
      <c r="C58" s="11">
        <v>100</v>
      </c>
      <c r="D58" s="10" t="s">
        <v>8</v>
      </c>
      <c r="E58" s="11">
        <f t="shared" si="5"/>
        <v>100</v>
      </c>
      <c r="F58" s="12">
        <v>2700</v>
      </c>
      <c r="G58" s="12">
        <f t="shared" ref="G58:G61" si="6">(F58*E58)</f>
        <v>270000</v>
      </c>
    </row>
    <row r="59" spans="1:8" x14ac:dyDescent="0.3">
      <c r="A59" s="7">
        <v>51</v>
      </c>
      <c r="B59" s="18" t="s">
        <v>54</v>
      </c>
      <c r="C59" s="11">
        <v>30</v>
      </c>
      <c r="D59" s="10" t="s">
        <v>8</v>
      </c>
      <c r="E59" s="11">
        <f t="shared" si="5"/>
        <v>30</v>
      </c>
      <c r="F59" s="12">
        <v>2700</v>
      </c>
      <c r="G59" s="12">
        <f t="shared" si="6"/>
        <v>81000</v>
      </c>
    </row>
    <row r="60" spans="1:8" x14ac:dyDescent="0.3">
      <c r="A60" s="7">
        <v>52</v>
      </c>
      <c r="B60" s="18" t="s">
        <v>102</v>
      </c>
      <c r="C60" s="11">
        <v>100</v>
      </c>
      <c r="D60" s="10" t="s">
        <v>8</v>
      </c>
      <c r="E60" s="11">
        <f t="shared" si="5"/>
        <v>100</v>
      </c>
      <c r="F60" s="12">
        <v>2700</v>
      </c>
      <c r="G60" s="12">
        <f t="shared" si="6"/>
        <v>270000</v>
      </c>
    </row>
    <row r="61" spans="1:8" x14ac:dyDescent="0.3">
      <c r="A61" s="7">
        <v>53</v>
      </c>
      <c r="B61" s="18" t="s">
        <v>103</v>
      </c>
      <c r="C61" s="11">
        <v>10</v>
      </c>
      <c r="D61" s="10" t="s">
        <v>8</v>
      </c>
      <c r="E61" s="11">
        <f t="shared" si="5"/>
        <v>10</v>
      </c>
      <c r="F61" s="12">
        <v>2700</v>
      </c>
      <c r="G61" s="12">
        <f t="shared" si="6"/>
        <v>27000</v>
      </c>
    </row>
    <row r="62" spans="1:8" x14ac:dyDescent="0.3">
      <c r="A62" s="7"/>
      <c r="B62" s="18"/>
      <c r="C62" s="68"/>
      <c r="D62" s="69"/>
      <c r="E62" s="11"/>
      <c r="F62" s="12"/>
      <c r="G62" s="12"/>
    </row>
    <row r="63" spans="1:8" x14ac:dyDescent="0.3">
      <c r="A63" s="7"/>
      <c r="B63" s="18"/>
      <c r="C63" s="104" t="s">
        <v>101</v>
      </c>
      <c r="D63" s="105"/>
      <c r="E63" s="11"/>
      <c r="F63" s="12"/>
      <c r="G63" s="19">
        <f>SUM(G36:G61)</f>
        <v>5886000</v>
      </c>
    </row>
    <row r="64" spans="1:8" s="6" customFormat="1" x14ac:dyDescent="0.3">
      <c r="A64" s="20"/>
      <c r="B64" s="3" t="s">
        <v>55</v>
      </c>
      <c r="C64" s="4" t="s">
        <v>30</v>
      </c>
      <c r="D64" s="3" t="s">
        <v>3</v>
      </c>
      <c r="E64" s="3" t="s">
        <v>4</v>
      </c>
      <c r="F64" s="5" t="s">
        <v>5</v>
      </c>
      <c r="G64" s="5"/>
    </row>
    <row r="65" spans="1:7" x14ac:dyDescent="0.3">
      <c r="A65" s="7">
        <v>54</v>
      </c>
      <c r="B65" s="31" t="s">
        <v>56</v>
      </c>
      <c r="C65" s="32">
        <v>800000</v>
      </c>
      <c r="D65" s="33" t="s">
        <v>57</v>
      </c>
      <c r="E65" s="34">
        <v>296.29629599999998</v>
      </c>
      <c r="F65" s="34">
        <v>2700</v>
      </c>
      <c r="G65" s="35">
        <f>(F65*E65)</f>
        <v>799999.99919999996</v>
      </c>
    </row>
    <row r="66" spans="1:7" x14ac:dyDescent="0.3">
      <c r="A66" s="7">
        <v>55</v>
      </c>
      <c r="B66" s="31" t="s">
        <v>58</v>
      </c>
      <c r="C66" s="32">
        <v>110000</v>
      </c>
      <c r="D66" s="33" t="s">
        <v>59</v>
      </c>
      <c r="E66" s="34">
        <v>40.74074074</v>
      </c>
      <c r="F66" s="34">
        <v>2700</v>
      </c>
      <c r="G66" s="35">
        <f t="shared" ref="G66:G70" si="7">(F66*E66)</f>
        <v>109999.999998</v>
      </c>
    </row>
    <row r="67" spans="1:7" x14ac:dyDescent="0.3">
      <c r="A67" s="7">
        <v>56</v>
      </c>
      <c r="B67" s="31" t="s">
        <v>60</v>
      </c>
      <c r="C67" s="32">
        <v>80000</v>
      </c>
      <c r="D67" s="33" t="s">
        <v>59</v>
      </c>
      <c r="E67" s="34">
        <v>29.629629619999999</v>
      </c>
      <c r="F67" s="34">
        <v>2700</v>
      </c>
      <c r="G67" s="35">
        <f t="shared" si="7"/>
        <v>79999.999973999991</v>
      </c>
    </row>
    <row r="68" spans="1:7" x14ac:dyDescent="0.3">
      <c r="A68" s="7">
        <v>57</v>
      </c>
      <c r="B68" s="31" t="s">
        <v>61</v>
      </c>
      <c r="C68" s="32">
        <v>30000</v>
      </c>
      <c r="D68" s="33" t="s">
        <v>59</v>
      </c>
      <c r="E68" s="34">
        <v>11.111110999999999</v>
      </c>
      <c r="F68" s="34">
        <v>2700</v>
      </c>
      <c r="G68" s="35">
        <f t="shared" si="7"/>
        <v>29999.999699999997</v>
      </c>
    </row>
    <row r="69" spans="1:7" x14ac:dyDescent="0.3">
      <c r="A69" s="7">
        <v>58</v>
      </c>
      <c r="B69" s="31" t="s">
        <v>62</v>
      </c>
      <c r="C69" s="32">
        <v>500000</v>
      </c>
      <c r="D69" s="33" t="s">
        <v>59</v>
      </c>
      <c r="E69" s="34">
        <v>185.18518518510001</v>
      </c>
      <c r="F69" s="34">
        <v>2700</v>
      </c>
      <c r="G69" s="35">
        <f>(E69*F69)</f>
        <v>499999.99999977002</v>
      </c>
    </row>
    <row r="70" spans="1:7" x14ac:dyDescent="0.3">
      <c r="A70" s="7">
        <v>59</v>
      </c>
      <c r="B70" s="31" t="s">
        <v>41</v>
      </c>
      <c r="C70" s="32">
        <v>70000</v>
      </c>
      <c r="D70" s="33" t="s">
        <v>59</v>
      </c>
      <c r="E70" s="34">
        <v>25.925925920000001</v>
      </c>
      <c r="F70" s="34">
        <v>2700</v>
      </c>
      <c r="G70" s="35">
        <f t="shared" si="7"/>
        <v>69999.999984000009</v>
      </c>
    </row>
    <row r="71" spans="1:7" s="39" customFormat="1" x14ac:dyDescent="0.3">
      <c r="A71" s="7"/>
      <c r="B71" s="7"/>
      <c r="C71" s="36"/>
      <c r="D71" s="10"/>
      <c r="E71" s="37"/>
      <c r="F71" s="37"/>
      <c r="G71" s="38"/>
    </row>
    <row r="72" spans="1:7" s="39" customFormat="1" x14ac:dyDescent="0.3">
      <c r="A72" s="7"/>
      <c r="B72" s="7"/>
      <c r="C72" s="36"/>
      <c r="D72" s="10"/>
      <c r="E72" s="40"/>
      <c r="F72" s="37"/>
      <c r="G72" s="41">
        <f>SUM(G65:G71)</f>
        <v>1589999.9988557701</v>
      </c>
    </row>
    <row r="73" spans="1:7" s="39" customFormat="1" x14ac:dyDescent="0.3">
      <c r="A73" s="7"/>
      <c r="B73" s="7"/>
      <c r="C73" s="36"/>
      <c r="D73" s="10"/>
      <c r="F73" s="42"/>
      <c r="G73" s="13"/>
    </row>
    <row r="74" spans="1:7" s="39" customFormat="1" x14ac:dyDescent="0.3">
      <c r="A74" s="7"/>
      <c r="B74" s="7"/>
      <c r="C74" s="36"/>
      <c r="D74" s="101" t="s">
        <v>63</v>
      </c>
      <c r="E74" s="101"/>
      <c r="F74" s="101"/>
      <c r="G74" s="43">
        <f>G15+G34+G63+G72</f>
        <v>12612099.998451227</v>
      </c>
    </row>
    <row r="75" spans="1:7" s="39" customFormat="1" x14ac:dyDescent="0.3">
      <c r="A75" s="7"/>
      <c r="B75" s="7"/>
      <c r="C75" s="36"/>
      <c r="D75" s="10"/>
      <c r="E75" s="42"/>
      <c r="F75" s="13"/>
      <c r="G75" s="13"/>
    </row>
    <row r="76" spans="1:7" s="39" customFormat="1" x14ac:dyDescent="0.3">
      <c r="A76" s="7"/>
      <c r="B76" s="44" t="s">
        <v>64</v>
      </c>
      <c r="C76" s="36"/>
      <c r="D76" s="10"/>
      <c r="E76" s="42"/>
      <c r="F76" s="13"/>
      <c r="G76" s="13"/>
    </row>
    <row r="77" spans="1:7" s="39" customFormat="1" x14ac:dyDescent="0.3">
      <c r="A77" s="7"/>
      <c r="B77" s="7"/>
      <c r="C77" s="36"/>
      <c r="D77" s="10"/>
      <c r="E77" s="42"/>
      <c r="F77" s="13"/>
      <c r="G77" s="13"/>
    </row>
    <row r="78" spans="1:7" x14ac:dyDescent="0.3">
      <c r="A78" s="7"/>
      <c r="B78" s="18" t="s">
        <v>100</v>
      </c>
      <c r="C78" s="45">
        <f>(2575*2780)</f>
        <v>7158500</v>
      </c>
      <c r="D78" s="10" t="s">
        <v>8</v>
      </c>
      <c r="E78" s="27"/>
      <c r="F78" s="46" t="s">
        <v>65</v>
      </c>
      <c r="G78" s="19">
        <f>(G74+C78)</f>
        <v>19770599.998451225</v>
      </c>
    </row>
    <row r="79" spans="1:7" s="39" customFormat="1" x14ac:dyDescent="0.3">
      <c r="A79" s="7"/>
      <c r="B79" s="7"/>
      <c r="C79" s="36"/>
      <c r="D79" s="10"/>
      <c r="E79" s="37"/>
      <c r="F79" s="13"/>
      <c r="G79" s="47"/>
    </row>
    <row r="80" spans="1:7" s="39" customFormat="1" x14ac:dyDescent="0.3">
      <c r="A80" s="7"/>
      <c r="B80" s="7"/>
      <c r="C80" s="48"/>
      <c r="D80" s="7"/>
      <c r="E80" s="37"/>
      <c r="F80" s="13"/>
      <c r="G80" s="47"/>
    </row>
    <row r="81" spans="1:7" x14ac:dyDescent="0.3">
      <c r="A81" s="7"/>
      <c r="B81" s="49" t="s">
        <v>66</v>
      </c>
      <c r="C81" s="50">
        <f>(500*31)</f>
        <v>15500</v>
      </c>
      <c r="D81" s="49" t="s">
        <v>67</v>
      </c>
      <c r="E81" s="50">
        <f>(C81)</f>
        <v>15500</v>
      </c>
      <c r="F81" s="12"/>
      <c r="G81" s="12"/>
    </row>
    <row r="82" spans="1:7" x14ac:dyDescent="0.3">
      <c r="A82" s="7"/>
      <c r="B82" s="49" t="s">
        <v>68</v>
      </c>
      <c r="C82" s="48"/>
      <c r="D82" s="7"/>
      <c r="E82" s="51">
        <f>(E81*2700)</f>
        <v>41850000</v>
      </c>
      <c r="F82" s="12"/>
      <c r="G82" s="12"/>
    </row>
    <row r="83" spans="1:7" x14ac:dyDescent="0.3">
      <c r="A83" s="7"/>
      <c r="B83" s="52" t="s">
        <v>69</v>
      </c>
      <c r="C83" s="53"/>
      <c r="D83" s="49"/>
      <c r="E83" s="42">
        <f>(G78/2700)</f>
        <v>7322.4444438708242</v>
      </c>
      <c r="F83" s="12"/>
      <c r="G83" s="12"/>
    </row>
    <row r="84" spans="1:7" x14ac:dyDescent="0.3">
      <c r="A84" s="7"/>
      <c r="B84" s="52" t="s">
        <v>70</v>
      </c>
      <c r="C84" s="53"/>
      <c r="D84" s="49"/>
      <c r="E84" s="54">
        <f>(G74+C78)</f>
        <v>19770599.998451225</v>
      </c>
      <c r="F84" s="12"/>
      <c r="G84" s="12"/>
    </row>
    <row r="85" spans="1:7" x14ac:dyDescent="0.3">
      <c r="A85" s="7"/>
      <c r="B85" s="52" t="s">
        <v>71</v>
      </c>
      <c r="C85" s="53"/>
      <c r="D85" s="52"/>
      <c r="E85" s="55">
        <f>(E86/2700)</f>
        <v>8177.5555561291758</v>
      </c>
      <c r="F85" s="12"/>
      <c r="G85" s="12"/>
    </row>
    <row r="86" spans="1:7" x14ac:dyDescent="0.3">
      <c r="A86" s="7"/>
      <c r="B86" s="52" t="s">
        <v>72</v>
      </c>
      <c r="C86" s="56"/>
      <c r="D86" s="18"/>
      <c r="E86" s="41">
        <f>(E82-E84)</f>
        <v>22079400.001548775</v>
      </c>
      <c r="F86" s="12"/>
      <c r="G86" s="13"/>
    </row>
    <row r="87" spans="1:7" x14ac:dyDescent="0.3">
      <c r="A87" s="7"/>
      <c r="B87" s="18"/>
      <c r="C87" s="56"/>
      <c r="D87" s="18"/>
      <c r="E87" s="18"/>
      <c r="F87" s="12"/>
      <c r="G87" s="12"/>
    </row>
    <row r="88" spans="1:7" s="59" customFormat="1" x14ac:dyDescent="0.3">
      <c r="A88" s="57"/>
      <c r="B88" s="58" t="s">
        <v>73</v>
      </c>
      <c r="C88" s="102" t="s">
        <v>74</v>
      </c>
      <c r="D88" s="102"/>
      <c r="E88" s="103" t="s">
        <v>75</v>
      </c>
      <c r="F88" s="103"/>
      <c r="G88" s="58" t="s">
        <v>76</v>
      </c>
    </row>
    <row r="89" spans="1:7" x14ac:dyDescent="0.3">
      <c r="A89" s="7"/>
      <c r="B89" s="94" t="s">
        <v>77</v>
      </c>
      <c r="C89" s="95" t="s">
        <v>78</v>
      </c>
      <c r="D89" s="95"/>
      <c r="E89" s="95"/>
      <c r="F89" s="95"/>
      <c r="G89" s="96"/>
    </row>
    <row r="90" spans="1:7" ht="33.6" customHeight="1" x14ac:dyDescent="0.3">
      <c r="A90" s="7"/>
      <c r="B90" s="94"/>
      <c r="C90" s="95"/>
      <c r="D90" s="95"/>
      <c r="E90" s="95"/>
      <c r="F90" s="95"/>
      <c r="G90" s="96"/>
    </row>
    <row r="91" spans="1:7" x14ac:dyDescent="0.3">
      <c r="A91" s="7"/>
      <c r="B91" s="60" t="s">
        <v>79</v>
      </c>
      <c r="C91" s="106" t="s">
        <v>80</v>
      </c>
      <c r="D91" s="107"/>
      <c r="E91" s="106" t="s">
        <v>81</v>
      </c>
      <c r="F91" s="107"/>
      <c r="G91" s="61" t="s">
        <v>82</v>
      </c>
    </row>
    <row r="92" spans="1:7" ht="45" customHeight="1" x14ac:dyDescent="0.3">
      <c r="A92" s="7"/>
      <c r="B92" s="65" t="s">
        <v>83</v>
      </c>
      <c r="C92" s="108" t="s">
        <v>84</v>
      </c>
      <c r="D92" s="109"/>
      <c r="E92" s="110"/>
      <c r="F92" s="111"/>
      <c r="G92" s="12"/>
    </row>
    <row r="93" spans="1:7" s="59" customFormat="1" x14ac:dyDescent="0.3">
      <c r="A93" s="57"/>
      <c r="B93" s="58" t="s">
        <v>85</v>
      </c>
      <c r="C93" s="102" t="s">
        <v>74</v>
      </c>
      <c r="D93" s="102"/>
      <c r="E93" s="103" t="s">
        <v>75</v>
      </c>
      <c r="F93" s="103"/>
      <c r="G93" s="58" t="s">
        <v>76</v>
      </c>
    </row>
    <row r="94" spans="1:7" x14ac:dyDescent="0.3">
      <c r="A94" s="7"/>
      <c r="B94" s="94" t="s">
        <v>86</v>
      </c>
      <c r="C94" s="95" t="s">
        <v>87</v>
      </c>
      <c r="D94" s="95"/>
      <c r="E94" s="94"/>
      <c r="F94" s="94"/>
      <c r="G94" s="96"/>
    </row>
    <row r="95" spans="1:7" ht="32.4" customHeight="1" x14ac:dyDescent="0.3">
      <c r="A95" s="7"/>
      <c r="B95" s="94"/>
      <c r="C95" s="95"/>
      <c r="D95" s="95"/>
      <c r="E95" s="94"/>
      <c r="F95" s="94"/>
      <c r="G95" s="96"/>
    </row>
  </sheetData>
  <mergeCells count="20">
    <mergeCell ref="G89:G90"/>
    <mergeCell ref="C91:D91"/>
    <mergeCell ref="E91:F91"/>
    <mergeCell ref="A1:G1"/>
    <mergeCell ref="C2:E2"/>
    <mergeCell ref="C63:D63"/>
    <mergeCell ref="D74:F74"/>
    <mergeCell ref="C88:D88"/>
    <mergeCell ref="E88:F88"/>
    <mergeCell ref="B94:B95"/>
    <mergeCell ref="C94:D95"/>
    <mergeCell ref="E94:F95"/>
    <mergeCell ref="B89:B90"/>
    <mergeCell ref="C89:D90"/>
    <mergeCell ref="E89:F90"/>
    <mergeCell ref="G94:G95"/>
    <mergeCell ref="C92:D92"/>
    <mergeCell ref="E92:F92"/>
    <mergeCell ref="C93:D93"/>
    <mergeCell ref="E93:F93"/>
  </mergeCells>
  <pageMargins left="0.7" right="0.7" top="0.75" bottom="0.75" header="0.3" footer="0.3"/>
  <pageSetup paperSize="9" scale="4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opLeftCell="A22" zoomScaleNormal="100" workbookViewId="0">
      <selection activeCell="H37" sqref="H37"/>
    </sheetView>
  </sheetViews>
  <sheetFormatPr defaultColWidth="14.44140625" defaultRowHeight="13.8" x14ac:dyDescent="0.3"/>
  <cols>
    <col min="1" max="1" width="5" style="39" bestFit="1" customWidth="1"/>
    <col min="2" max="2" width="39.6640625" style="1" customWidth="1"/>
    <col min="3" max="3" width="19.109375" style="63" customWidth="1"/>
    <col min="4" max="4" width="19.88671875" style="1" customWidth="1"/>
    <col min="5" max="5" width="16.44140625" style="1" bestFit="1" customWidth="1"/>
    <col min="6" max="6" width="19.21875" style="64" customWidth="1"/>
    <col min="7" max="7" width="24.33203125" style="64" customWidth="1"/>
    <col min="8" max="18" width="30.88671875" style="1" customWidth="1"/>
    <col min="19" max="16384" width="14.44140625" style="1"/>
  </cols>
  <sheetData>
    <row r="1" spans="1:8" ht="33" customHeight="1" x14ac:dyDescent="0.3">
      <c r="A1" s="97" t="s">
        <v>110</v>
      </c>
      <c r="B1" s="97"/>
      <c r="C1" s="97"/>
      <c r="D1" s="97"/>
      <c r="E1" s="97"/>
      <c r="F1" s="97"/>
      <c r="G1" s="97"/>
    </row>
    <row r="2" spans="1:8" ht="39" customHeight="1" x14ac:dyDescent="0.3">
      <c r="A2" s="66"/>
      <c r="B2" s="66"/>
      <c r="C2" s="98" t="s">
        <v>111</v>
      </c>
      <c r="D2" s="99"/>
      <c r="E2" s="100"/>
      <c r="F2" s="66"/>
      <c r="G2" s="66"/>
    </row>
    <row r="3" spans="1:8" s="6" customFormat="1" x14ac:dyDescent="0.3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5" t="s">
        <v>5</v>
      </c>
      <c r="G3" s="5" t="s">
        <v>6</v>
      </c>
    </row>
    <row r="4" spans="1:8" ht="14.4" x14ac:dyDescent="0.3">
      <c r="A4" s="7">
        <v>1</v>
      </c>
      <c r="B4" s="8" t="s">
        <v>7</v>
      </c>
      <c r="C4" s="9">
        <v>2000000</v>
      </c>
      <c r="D4" s="10" t="s">
        <v>8</v>
      </c>
      <c r="E4" s="11">
        <v>740.74074074073997</v>
      </c>
      <c r="F4" s="12">
        <v>2700</v>
      </c>
      <c r="G4" s="12">
        <f>(F4*E4)</f>
        <v>1999999.9999999979</v>
      </c>
    </row>
    <row r="5" spans="1:8" ht="14.4" x14ac:dyDescent="0.3">
      <c r="A5" s="7">
        <v>2</v>
      </c>
      <c r="B5" s="8" t="s">
        <v>9</v>
      </c>
      <c r="C5" s="9">
        <v>15000</v>
      </c>
      <c r="D5" s="10" t="s">
        <v>8</v>
      </c>
      <c r="E5" s="11">
        <v>5.5555555549999998</v>
      </c>
      <c r="F5" s="12">
        <v>2700</v>
      </c>
      <c r="G5" s="12">
        <f>(F5*E5)</f>
        <v>14999.999998499999</v>
      </c>
    </row>
    <row r="6" spans="1:8" ht="14.4" x14ac:dyDescent="0.3">
      <c r="A6" s="7">
        <v>3</v>
      </c>
      <c r="B6" s="8" t="s">
        <v>10</v>
      </c>
      <c r="C6" s="9">
        <v>30000</v>
      </c>
      <c r="D6" s="10" t="s">
        <v>8</v>
      </c>
      <c r="E6" s="11">
        <v>11.1111111</v>
      </c>
      <c r="F6" s="12">
        <v>2700</v>
      </c>
      <c r="G6" s="12">
        <f>(F6*E6)</f>
        <v>29999.999970000001</v>
      </c>
    </row>
    <row r="7" spans="1:8" ht="14.4" x14ac:dyDescent="0.3">
      <c r="A7" s="7">
        <v>4</v>
      </c>
      <c r="B7" s="8" t="s">
        <v>95</v>
      </c>
      <c r="C7" s="9">
        <v>60000</v>
      </c>
      <c r="D7" s="10" t="s">
        <v>8</v>
      </c>
      <c r="E7" s="11">
        <v>22.222222200000001</v>
      </c>
      <c r="F7" s="12">
        <v>2700</v>
      </c>
      <c r="G7" s="12">
        <f>E7*F7</f>
        <v>59999.999940000002</v>
      </c>
    </row>
    <row r="8" spans="1:8" ht="14.4" x14ac:dyDescent="0.3">
      <c r="A8" s="7">
        <v>5</v>
      </c>
      <c r="B8" s="8" t="s">
        <v>11</v>
      </c>
      <c r="C8" s="9">
        <v>40000</v>
      </c>
      <c r="D8" s="10" t="s">
        <v>8</v>
      </c>
      <c r="E8" s="11">
        <v>14.8148148148</v>
      </c>
      <c r="F8" s="12">
        <v>2700</v>
      </c>
      <c r="G8" s="12">
        <f t="shared" ref="G8:G13" si="0">(F8*E8)</f>
        <v>39999.999999959997</v>
      </c>
    </row>
    <row r="9" spans="1:8" ht="14.4" x14ac:dyDescent="0.3">
      <c r="A9" s="7">
        <v>6</v>
      </c>
      <c r="B9" s="8" t="s">
        <v>12</v>
      </c>
      <c r="C9" s="9">
        <v>77500</v>
      </c>
      <c r="D9" s="10" t="s">
        <v>8</v>
      </c>
      <c r="E9" s="11">
        <v>28.703703699999998</v>
      </c>
      <c r="F9" s="13">
        <v>2700</v>
      </c>
      <c r="G9" s="12">
        <f>(F9*E9)</f>
        <v>77499.999989999997</v>
      </c>
    </row>
    <row r="10" spans="1:8" ht="14.4" x14ac:dyDescent="0.3">
      <c r="A10" s="7">
        <v>7</v>
      </c>
      <c r="B10" s="8" t="s">
        <v>98</v>
      </c>
      <c r="C10" s="9">
        <v>30000</v>
      </c>
      <c r="D10" s="10" t="s">
        <v>99</v>
      </c>
      <c r="E10" s="11">
        <v>11.111110999999999</v>
      </c>
      <c r="F10" s="13">
        <v>2700</v>
      </c>
      <c r="G10" s="12">
        <f>(F10*E10)</f>
        <v>29999.999699999997</v>
      </c>
    </row>
    <row r="11" spans="1:8" ht="14.4" x14ac:dyDescent="0.3">
      <c r="A11" s="7">
        <v>8</v>
      </c>
      <c r="B11" s="8" t="s">
        <v>13</v>
      </c>
      <c r="C11" s="9">
        <v>30000</v>
      </c>
      <c r="D11" s="10" t="s">
        <v>14</v>
      </c>
      <c r="E11" s="11">
        <v>11.11111111</v>
      </c>
      <c r="F11" s="12">
        <v>2700</v>
      </c>
      <c r="G11" s="12">
        <f t="shared" si="0"/>
        <v>29999.999996999999</v>
      </c>
    </row>
    <row r="12" spans="1:8" ht="14.4" x14ac:dyDescent="0.3">
      <c r="A12" s="7">
        <v>9</v>
      </c>
      <c r="B12" s="8" t="s">
        <v>15</v>
      </c>
      <c r="C12" s="14">
        <v>5</v>
      </c>
      <c r="D12" s="10" t="s">
        <v>16</v>
      </c>
      <c r="E12" s="11">
        <v>3.7037037037037002</v>
      </c>
      <c r="F12" s="12">
        <v>2700</v>
      </c>
      <c r="G12" s="67">
        <f t="shared" si="0"/>
        <v>9999.9999999999909</v>
      </c>
      <c r="H12" s="16"/>
    </row>
    <row r="13" spans="1:8" ht="14.4" x14ac:dyDescent="0.3">
      <c r="A13" s="7">
        <v>10</v>
      </c>
      <c r="B13" s="8" t="s">
        <v>17</v>
      </c>
      <c r="C13" s="14">
        <v>12</v>
      </c>
      <c r="D13" s="10" t="s">
        <v>8</v>
      </c>
      <c r="E13" s="11">
        <v>12</v>
      </c>
      <c r="F13" s="12">
        <v>2700</v>
      </c>
      <c r="G13" s="67">
        <f t="shared" si="0"/>
        <v>32400</v>
      </c>
      <c r="H13" s="16"/>
    </row>
    <row r="14" spans="1:8" ht="14.4" x14ac:dyDescent="0.3">
      <c r="A14" s="7"/>
      <c r="B14" s="8"/>
      <c r="C14" s="14"/>
      <c r="D14" s="10"/>
      <c r="E14" s="11"/>
      <c r="F14" s="12"/>
      <c r="G14" s="15"/>
      <c r="H14" s="16"/>
    </row>
    <row r="15" spans="1:8" ht="14.4" x14ac:dyDescent="0.3">
      <c r="A15" s="7"/>
      <c r="B15" s="8"/>
      <c r="C15" s="17"/>
      <c r="D15" s="10"/>
      <c r="E15" s="18"/>
      <c r="F15" s="12"/>
      <c r="G15" s="19">
        <f>SUM(G4:G14)</f>
        <v>2324899.9995954582</v>
      </c>
    </row>
    <row r="16" spans="1:8" s="6" customFormat="1" x14ac:dyDescent="0.3">
      <c r="A16" s="20"/>
      <c r="B16" s="3" t="s">
        <v>18</v>
      </c>
      <c r="C16" s="4" t="s">
        <v>2</v>
      </c>
      <c r="D16" s="3" t="s">
        <v>3</v>
      </c>
      <c r="E16" s="3" t="s">
        <v>4</v>
      </c>
      <c r="F16" s="5" t="s">
        <v>5</v>
      </c>
      <c r="G16" s="5"/>
    </row>
    <row r="17" spans="1:8" ht="14.4" x14ac:dyDescent="0.3">
      <c r="A17" s="7">
        <v>11</v>
      </c>
      <c r="B17" s="8" t="s">
        <v>19</v>
      </c>
      <c r="C17" s="21">
        <v>356</v>
      </c>
      <c r="D17" s="10" t="s">
        <v>8</v>
      </c>
      <c r="E17" s="22">
        <f>(C17)</f>
        <v>356</v>
      </c>
      <c r="F17" s="12">
        <v>2700</v>
      </c>
      <c r="G17" s="12">
        <f>(F17*E17)</f>
        <v>961200</v>
      </c>
    </row>
    <row r="18" spans="1:8" ht="14.4" x14ac:dyDescent="0.3">
      <c r="A18" s="7">
        <v>12</v>
      </c>
      <c r="B18" s="8" t="s">
        <v>20</v>
      </c>
      <c r="C18" s="23">
        <v>250</v>
      </c>
      <c r="D18" s="10" t="s">
        <v>8</v>
      </c>
      <c r="E18" s="22">
        <f t="shared" ref="E18" si="1">(C18*0.0375)</f>
        <v>9.375</v>
      </c>
      <c r="F18" s="12">
        <v>130</v>
      </c>
      <c r="G18" s="12">
        <f>(C18*F18)</f>
        <v>32500</v>
      </c>
    </row>
    <row r="19" spans="1:8" ht="14.4" x14ac:dyDescent="0.3">
      <c r="A19" s="7">
        <v>13</v>
      </c>
      <c r="B19" s="8" t="s">
        <v>88</v>
      </c>
      <c r="C19" s="24">
        <v>600</v>
      </c>
      <c r="D19" s="10" t="s">
        <v>8</v>
      </c>
      <c r="E19" s="22">
        <f>(C19*0.0375)</f>
        <v>22.5</v>
      </c>
      <c r="F19" s="12">
        <v>130</v>
      </c>
      <c r="G19" s="12">
        <f t="shared" ref="G19:G32" si="2">(C19*F19)</f>
        <v>78000</v>
      </c>
      <c r="H19" s="16"/>
    </row>
    <row r="20" spans="1:8" ht="14.4" x14ac:dyDescent="0.3">
      <c r="A20" s="7">
        <v>14</v>
      </c>
      <c r="B20" s="8" t="s">
        <v>21</v>
      </c>
      <c r="C20" s="24">
        <v>600</v>
      </c>
      <c r="D20" s="10" t="s">
        <v>8</v>
      </c>
      <c r="E20" s="22">
        <f t="shared" ref="E20:E30" si="3">(C20*0.0375)</f>
        <v>22.5</v>
      </c>
      <c r="F20" s="12">
        <v>130</v>
      </c>
      <c r="G20" s="12">
        <f t="shared" si="2"/>
        <v>78000</v>
      </c>
    </row>
    <row r="21" spans="1:8" ht="14.4" x14ac:dyDescent="0.3">
      <c r="A21" s="7">
        <v>15</v>
      </c>
      <c r="B21" s="8" t="s">
        <v>89</v>
      </c>
      <c r="C21" s="24">
        <v>600</v>
      </c>
      <c r="D21" s="10" t="s">
        <v>8</v>
      </c>
      <c r="E21" s="22">
        <f t="shared" si="3"/>
        <v>22.5</v>
      </c>
      <c r="F21" s="12">
        <v>130</v>
      </c>
      <c r="G21" s="12">
        <f t="shared" si="2"/>
        <v>78000</v>
      </c>
    </row>
    <row r="22" spans="1:8" ht="14.4" x14ac:dyDescent="0.3">
      <c r="A22" s="7">
        <v>16</v>
      </c>
      <c r="B22" s="8" t="s">
        <v>90</v>
      </c>
      <c r="C22" s="24">
        <v>600</v>
      </c>
      <c r="D22" s="10" t="s">
        <v>8</v>
      </c>
      <c r="E22" s="22">
        <f t="shared" si="3"/>
        <v>22.5</v>
      </c>
      <c r="F22" s="12">
        <v>130</v>
      </c>
      <c r="G22" s="12">
        <f t="shared" si="2"/>
        <v>78000</v>
      </c>
    </row>
    <row r="23" spans="1:8" ht="14.4" x14ac:dyDescent="0.3">
      <c r="A23" s="7">
        <v>17</v>
      </c>
      <c r="B23" s="8" t="s">
        <v>91</v>
      </c>
      <c r="C23" s="24">
        <v>600</v>
      </c>
      <c r="D23" s="10" t="s">
        <v>8</v>
      </c>
      <c r="E23" s="22">
        <f t="shared" si="3"/>
        <v>22.5</v>
      </c>
      <c r="F23" s="12">
        <v>130</v>
      </c>
      <c r="G23" s="12">
        <f t="shared" si="2"/>
        <v>78000</v>
      </c>
    </row>
    <row r="24" spans="1:8" ht="14.4" x14ac:dyDescent="0.3">
      <c r="A24" s="7">
        <v>18</v>
      </c>
      <c r="B24" s="8" t="s">
        <v>93</v>
      </c>
      <c r="C24" s="24">
        <v>690</v>
      </c>
      <c r="D24" s="10" t="s">
        <v>8</v>
      </c>
      <c r="E24" s="22">
        <f t="shared" si="3"/>
        <v>25.875</v>
      </c>
      <c r="F24" s="12">
        <v>130</v>
      </c>
      <c r="G24" s="12">
        <f t="shared" si="2"/>
        <v>89700</v>
      </c>
    </row>
    <row r="25" spans="1:8" ht="14.4" x14ac:dyDescent="0.3">
      <c r="A25" s="7">
        <v>19</v>
      </c>
      <c r="B25" s="8" t="s">
        <v>92</v>
      </c>
      <c r="C25" s="24">
        <v>600</v>
      </c>
      <c r="D25" s="10" t="s">
        <v>8</v>
      </c>
      <c r="E25" s="22">
        <f t="shared" si="3"/>
        <v>22.5</v>
      </c>
      <c r="F25" s="12">
        <v>130</v>
      </c>
      <c r="G25" s="12">
        <f t="shared" si="2"/>
        <v>78000</v>
      </c>
    </row>
    <row r="26" spans="1:8" ht="14.4" x14ac:dyDescent="0.3">
      <c r="A26" s="7">
        <v>20</v>
      </c>
      <c r="B26" s="8" t="s">
        <v>23</v>
      </c>
      <c r="C26" s="24">
        <v>3100</v>
      </c>
      <c r="D26" s="10" t="s">
        <v>8</v>
      </c>
      <c r="E26" s="22">
        <f t="shared" si="3"/>
        <v>116.25</v>
      </c>
      <c r="F26" s="12">
        <v>130</v>
      </c>
      <c r="G26" s="12">
        <f t="shared" si="2"/>
        <v>403000</v>
      </c>
    </row>
    <row r="27" spans="1:8" ht="14.4" x14ac:dyDescent="0.3">
      <c r="A27" s="7">
        <v>21</v>
      </c>
      <c r="B27" s="8" t="s">
        <v>22</v>
      </c>
      <c r="C27" s="24">
        <v>200</v>
      </c>
      <c r="D27" s="10" t="s">
        <v>8</v>
      </c>
      <c r="E27" s="22">
        <f t="shared" si="3"/>
        <v>7.5</v>
      </c>
      <c r="F27" s="12">
        <v>120</v>
      </c>
      <c r="G27" s="12">
        <f t="shared" si="2"/>
        <v>24000</v>
      </c>
    </row>
    <row r="28" spans="1:8" ht="14.4" x14ac:dyDescent="0.3">
      <c r="A28" s="7">
        <v>22</v>
      </c>
      <c r="B28" s="8" t="s">
        <v>24</v>
      </c>
      <c r="C28" s="25">
        <v>100</v>
      </c>
      <c r="D28" s="10" t="s">
        <v>8</v>
      </c>
      <c r="E28" s="22">
        <f t="shared" si="3"/>
        <v>3.75</v>
      </c>
      <c r="F28" s="12">
        <v>120</v>
      </c>
      <c r="G28" s="12">
        <f t="shared" si="2"/>
        <v>12000</v>
      </c>
    </row>
    <row r="29" spans="1:8" ht="14.4" x14ac:dyDescent="0.3">
      <c r="A29" s="7">
        <v>23</v>
      </c>
      <c r="B29" s="8" t="s">
        <v>25</v>
      </c>
      <c r="C29" s="26">
        <v>200</v>
      </c>
      <c r="D29" s="10" t="s">
        <v>8</v>
      </c>
      <c r="E29" s="22">
        <v>200</v>
      </c>
      <c r="F29" s="12">
        <v>2700</v>
      </c>
      <c r="G29" s="12">
        <f t="shared" si="2"/>
        <v>540000</v>
      </c>
    </row>
    <row r="30" spans="1:8" ht="14.4" x14ac:dyDescent="0.3">
      <c r="A30" s="7">
        <v>24</v>
      </c>
      <c r="B30" s="8" t="s">
        <v>26</v>
      </c>
      <c r="C30" s="25">
        <v>50</v>
      </c>
      <c r="D30" s="10" t="s">
        <v>8</v>
      </c>
      <c r="E30" s="22">
        <f t="shared" si="3"/>
        <v>1.875</v>
      </c>
      <c r="F30" s="12">
        <v>130</v>
      </c>
      <c r="G30" s="12">
        <f t="shared" si="2"/>
        <v>6500</v>
      </c>
    </row>
    <row r="31" spans="1:8" ht="14.4" x14ac:dyDescent="0.3">
      <c r="A31" s="7">
        <v>25</v>
      </c>
      <c r="B31" s="8" t="s">
        <v>27</v>
      </c>
      <c r="C31" s="25">
        <v>1080</v>
      </c>
      <c r="D31" s="10" t="s">
        <v>8</v>
      </c>
      <c r="E31" s="22">
        <v>48</v>
      </c>
      <c r="F31" s="12">
        <v>130</v>
      </c>
      <c r="G31" s="12">
        <f t="shared" si="2"/>
        <v>140400</v>
      </c>
    </row>
    <row r="32" spans="1:8" ht="14.4" x14ac:dyDescent="0.3">
      <c r="A32" s="7">
        <v>26</v>
      </c>
      <c r="B32" s="8" t="s">
        <v>28</v>
      </c>
      <c r="C32" s="25">
        <v>1030</v>
      </c>
      <c r="D32" s="10" t="s">
        <v>8</v>
      </c>
      <c r="E32" s="22">
        <v>45</v>
      </c>
      <c r="F32" s="12">
        <v>130</v>
      </c>
      <c r="G32" s="12">
        <f t="shared" si="2"/>
        <v>133900</v>
      </c>
    </row>
    <row r="33" spans="1:7" ht="14.4" x14ac:dyDescent="0.3">
      <c r="A33" s="7"/>
      <c r="B33" s="8"/>
      <c r="C33" s="25"/>
      <c r="D33" s="10"/>
      <c r="E33" s="27"/>
      <c r="F33" s="12"/>
      <c r="G33" s="28"/>
    </row>
    <row r="34" spans="1:7" ht="14.4" x14ac:dyDescent="0.3">
      <c r="A34" s="7"/>
      <c r="B34" s="8"/>
      <c r="C34" s="17"/>
      <c r="D34" s="10"/>
      <c r="E34" s="18"/>
      <c r="F34" s="12"/>
      <c r="G34" s="19">
        <f>SUM(G17:G33)</f>
        <v>2811200</v>
      </c>
    </row>
    <row r="35" spans="1:7" s="6" customFormat="1" x14ac:dyDescent="0.3">
      <c r="A35" s="20"/>
      <c r="B35" s="3" t="s">
        <v>29</v>
      </c>
      <c r="C35" s="4" t="s">
        <v>30</v>
      </c>
      <c r="D35" s="3" t="s">
        <v>3</v>
      </c>
      <c r="E35" s="3" t="s">
        <v>4</v>
      </c>
      <c r="F35" s="5" t="s">
        <v>5</v>
      </c>
      <c r="G35" s="5"/>
    </row>
    <row r="36" spans="1:7" ht="14.4" x14ac:dyDescent="0.3">
      <c r="A36" s="7">
        <v>27</v>
      </c>
      <c r="B36" s="8" t="s">
        <v>31</v>
      </c>
      <c r="C36" s="29">
        <v>300</v>
      </c>
      <c r="D36" s="10" t="s">
        <v>8</v>
      </c>
      <c r="E36" s="11">
        <f>(C36)</f>
        <v>300</v>
      </c>
      <c r="F36" s="12">
        <v>2700</v>
      </c>
      <c r="G36" s="12">
        <f>(F36*E36)</f>
        <v>810000</v>
      </c>
    </row>
    <row r="37" spans="1:7" ht="14.4" x14ac:dyDescent="0.3">
      <c r="A37" s="7">
        <v>28</v>
      </c>
      <c r="B37" s="8" t="s">
        <v>32</v>
      </c>
      <c r="C37" s="29">
        <v>200</v>
      </c>
      <c r="D37" s="10" t="s">
        <v>8</v>
      </c>
      <c r="E37" s="11">
        <v>200</v>
      </c>
      <c r="F37" s="12">
        <v>2700</v>
      </c>
      <c r="G37" s="12">
        <f t="shared" ref="G37:G56" si="4">(F37*E37)</f>
        <v>540000</v>
      </c>
    </row>
    <row r="38" spans="1:7" ht="14.4" x14ac:dyDescent="0.3">
      <c r="A38" s="7">
        <v>29</v>
      </c>
      <c r="B38" s="8" t="s">
        <v>33</v>
      </c>
      <c r="C38" s="29">
        <v>25</v>
      </c>
      <c r="D38" s="10" t="s">
        <v>8</v>
      </c>
      <c r="E38" s="11">
        <f t="shared" ref="E38:E62" si="5">(C38)</f>
        <v>25</v>
      </c>
      <c r="F38" s="12">
        <v>2700</v>
      </c>
      <c r="G38" s="12">
        <f t="shared" si="4"/>
        <v>67500</v>
      </c>
    </row>
    <row r="39" spans="1:7" ht="14.4" x14ac:dyDescent="0.3">
      <c r="A39" s="7">
        <v>30</v>
      </c>
      <c r="B39" s="8" t="s">
        <v>34</v>
      </c>
      <c r="C39" s="29">
        <v>100</v>
      </c>
      <c r="D39" s="10" t="s">
        <v>8</v>
      </c>
      <c r="E39" s="11">
        <v>100</v>
      </c>
      <c r="F39" s="12">
        <v>2700</v>
      </c>
      <c r="G39" s="12">
        <f>(F39*E39)</f>
        <v>270000</v>
      </c>
    </row>
    <row r="40" spans="1:7" ht="14.4" x14ac:dyDescent="0.3">
      <c r="A40" s="7">
        <v>31</v>
      </c>
      <c r="B40" s="8" t="s">
        <v>35</v>
      </c>
      <c r="C40" s="29">
        <v>100</v>
      </c>
      <c r="D40" s="10" t="s">
        <v>8</v>
      </c>
      <c r="E40" s="11">
        <v>100</v>
      </c>
      <c r="F40" s="12">
        <v>2700</v>
      </c>
      <c r="G40" s="12">
        <f>(F40*E40)</f>
        <v>270000</v>
      </c>
    </row>
    <row r="41" spans="1:7" x14ac:dyDescent="0.3">
      <c r="A41" s="7">
        <v>32</v>
      </c>
      <c r="B41" s="8" t="s">
        <v>36</v>
      </c>
      <c r="C41" s="29">
        <v>40</v>
      </c>
      <c r="D41" s="10" t="s">
        <v>8</v>
      </c>
      <c r="E41" s="11">
        <f t="shared" si="5"/>
        <v>40</v>
      </c>
      <c r="F41" s="12">
        <v>2700</v>
      </c>
      <c r="G41" s="12">
        <f t="shared" si="4"/>
        <v>108000</v>
      </c>
    </row>
    <row r="42" spans="1:7" x14ac:dyDescent="0.3">
      <c r="A42" s="7">
        <v>33</v>
      </c>
      <c r="B42" s="8" t="s">
        <v>37</v>
      </c>
      <c r="C42" s="29">
        <v>50</v>
      </c>
      <c r="D42" s="10" t="s">
        <v>8</v>
      </c>
      <c r="E42" s="11">
        <f t="shared" si="5"/>
        <v>50</v>
      </c>
      <c r="F42" s="12">
        <v>2700</v>
      </c>
      <c r="G42" s="12">
        <f t="shared" si="4"/>
        <v>135000</v>
      </c>
    </row>
    <row r="43" spans="1:7" x14ac:dyDescent="0.3">
      <c r="A43" s="7">
        <v>34</v>
      </c>
      <c r="B43" s="8" t="s">
        <v>38</v>
      </c>
      <c r="C43" s="29">
        <v>150</v>
      </c>
      <c r="D43" s="10" t="s">
        <v>8</v>
      </c>
      <c r="E43" s="11">
        <f t="shared" si="5"/>
        <v>150</v>
      </c>
      <c r="F43" s="12">
        <v>2700</v>
      </c>
      <c r="G43" s="12">
        <f t="shared" si="4"/>
        <v>405000</v>
      </c>
    </row>
    <row r="44" spans="1:7" x14ac:dyDescent="0.3">
      <c r="A44" s="7">
        <v>35</v>
      </c>
      <c r="B44" s="8" t="s">
        <v>39</v>
      </c>
      <c r="C44" s="29">
        <v>10</v>
      </c>
      <c r="D44" s="10" t="s">
        <v>8</v>
      </c>
      <c r="E44" s="11">
        <f t="shared" si="5"/>
        <v>10</v>
      </c>
      <c r="F44" s="12">
        <v>2700</v>
      </c>
      <c r="G44" s="12">
        <f t="shared" si="4"/>
        <v>27000</v>
      </c>
    </row>
    <row r="45" spans="1:7" x14ac:dyDescent="0.3">
      <c r="A45" s="7">
        <v>36</v>
      </c>
      <c r="B45" s="8" t="s">
        <v>94</v>
      </c>
      <c r="C45" s="29">
        <v>40</v>
      </c>
      <c r="D45" s="10" t="s">
        <v>8</v>
      </c>
      <c r="E45" s="11">
        <f t="shared" si="5"/>
        <v>40</v>
      </c>
      <c r="F45" s="12">
        <v>2700</v>
      </c>
      <c r="G45" s="12">
        <f t="shared" si="4"/>
        <v>108000</v>
      </c>
    </row>
    <row r="46" spans="1:7" x14ac:dyDescent="0.3">
      <c r="A46" s="7">
        <v>37</v>
      </c>
      <c r="B46" s="8" t="s">
        <v>40</v>
      </c>
      <c r="C46" s="29">
        <v>60</v>
      </c>
      <c r="D46" s="10" t="s">
        <v>8</v>
      </c>
      <c r="E46" s="11">
        <f t="shared" si="5"/>
        <v>60</v>
      </c>
      <c r="F46" s="12">
        <v>2700</v>
      </c>
      <c r="G46" s="12">
        <f t="shared" si="4"/>
        <v>162000</v>
      </c>
    </row>
    <row r="47" spans="1:7" x14ac:dyDescent="0.3">
      <c r="A47" s="7">
        <v>38</v>
      </c>
      <c r="B47" s="8" t="s">
        <v>41</v>
      </c>
      <c r="C47" s="29">
        <v>10</v>
      </c>
      <c r="D47" s="10" t="s">
        <v>8</v>
      </c>
      <c r="E47" s="11">
        <f t="shared" si="5"/>
        <v>10</v>
      </c>
      <c r="F47" s="12">
        <v>2700</v>
      </c>
      <c r="G47" s="12">
        <f t="shared" si="4"/>
        <v>27000</v>
      </c>
    </row>
    <row r="48" spans="1:7" x14ac:dyDescent="0.3">
      <c r="A48" s="7">
        <v>39</v>
      </c>
      <c r="B48" s="8" t="s">
        <v>42</v>
      </c>
      <c r="C48" s="29">
        <v>25</v>
      </c>
      <c r="D48" s="10" t="s">
        <v>8</v>
      </c>
      <c r="E48" s="11">
        <f t="shared" si="5"/>
        <v>25</v>
      </c>
      <c r="F48" s="12">
        <v>2700</v>
      </c>
      <c r="G48" s="12">
        <f t="shared" si="4"/>
        <v>67500</v>
      </c>
    </row>
    <row r="49" spans="1:8" x14ac:dyDescent="0.3">
      <c r="A49" s="7">
        <v>40</v>
      </c>
      <c r="B49" s="8" t="s">
        <v>43</v>
      </c>
      <c r="C49" s="29">
        <v>10</v>
      </c>
      <c r="D49" s="10" t="s">
        <v>8</v>
      </c>
      <c r="E49" s="11">
        <f t="shared" si="5"/>
        <v>10</v>
      </c>
      <c r="F49" s="12">
        <v>2700</v>
      </c>
      <c r="G49" s="12">
        <f t="shared" si="4"/>
        <v>27000</v>
      </c>
    </row>
    <row r="50" spans="1:8" x14ac:dyDescent="0.3">
      <c r="A50" s="7">
        <v>41</v>
      </c>
      <c r="B50" s="8" t="s">
        <v>44</v>
      </c>
      <c r="C50" s="29">
        <v>150</v>
      </c>
      <c r="D50" s="10" t="s">
        <v>8</v>
      </c>
      <c r="E50" s="11">
        <f t="shared" si="5"/>
        <v>150</v>
      </c>
      <c r="F50" s="12">
        <v>2700</v>
      </c>
      <c r="G50" s="12">
        <f t="shared" si="4"/>
        <v>405000</v>
      </c>
    </row>
    <row r="51" spans="1:8" x14ac:dyDescent="0.3">
      <c r="A51" s="7">
        <v>42</v>
      </c>
      <c r="B51" s="8" t="s">
        <v>45</v>
      </c>
      <c r="C51" s="29">
        <v>150</v>
      </c>
      <c r="D51" s="10" t="s">
        <v>8</v>
      </c>
      <c r="E51" s="11">
        <v>150</v>
      </c>
      <c r="F51" s="12">
        <v>2700</v>
      </c>
      <c r="G51" s="12">
        <f>(F51*E51)</f>
        <v>405000</v>
      </c>
      <c r="H51" s="16"/>
    </row>
    <row r="52" spans="1:8" x14ac:dyDescent="0.3">
      <c r="A52" s="7">
        <v>43</v>
      </c>
      <c r="B52" s="8" t="s">
        <v>46</v>
      </c>
      <c r="C52" s="29">
        <v>150</v>
      </c>
      <c r="D52" s="10" t="s">
        <v>8</v>
      </c>
      <c r="E52" s="11">
        <f>(C52)</f>
        <v>150</v>
      </c>
      <c r="F52" s="12">
        <v>2700</v>
      </c>
      <c r="G52" s="12">
        <f t="shared" si="4"/>
        <v>405000</v>
      </c>
    </row>
    <row r="53" spans="1:8" x14ac:dyDescent="0.3">
      <c r="A53" s="7">
        <v>44</v>
      </c>
      <c r="B53" s="18" t="s">
        <v>47</v>
      </c>
      <c r="C53" s="30">
        <v>160</v>
      </c>
      <c r="D53" s="10" t="s">
        <v>8</v>
      </c>
      <c r="E53" s="11">
        <f t="shared" si="5"/>
        <v>160</v>
      </c>
      <c r="F53" s="12">
        <v>2700</v>
      </c>
      <c r="G53" s="12">
        <f t="shared" si="4"/>
        <v>432000</v>
      </c>
    </row>
    <row r="54" spans="1:8" x14ac:dyDescent="0.3">
      <c r="A54" s="7">
        <v>45</v>
      </c>
      <c r="B54" s="18" t="s">
        <v>48</v>
      </c>
      <c r="C54" s="11">
        <v>100</v>
      </c>
      <c r="D54" s="10" t="s">
        <v>8</v>
      </c>
      <c r="E54" s="11">
        <f t="shared" si="5"/>
        <v>100</v>
      </c>
      <c r="F54" s="12">
        <v>2700</v>
      </c>
      <c r="G54" s="12">
        <f t="shared" si="4"/>
        <v>270000</v>
      </c>
    </row>
    <row r="55" spans="1:8" x14ac:dyDescent="0.3">
      <c r="A55" s="7">
        <v>46</v>
      </c>
      <c r="B55" s="7" t="s">
        <v>49</v>
      </c>
      <c r="C55" s="11">
        <v>150</v>
      </c>
      <c r="D55" s="10" t="s">
        <v>8</v>
      </c>
      <c r="E55" s="11">
        <f t="shared" si="5"/>
        <v>150</v>
      </c>
      <c r="F55" s="12">
        <v>2700</v>
      </c>
      <c r="G55" s="12">
        <f t="shared" si="4"/>
        <v>405000</v>
      </c>
    </row>
    <row r="56" spans="1:8" x14ac:dyDescent="0.3">
      <c r="A56" s="7">
        <v>47</v>
      </c>
      <c r="B56" s="18" t="s">
        <v>50</v>
      </c>
      <c r="C56" s="11">
        <v>10</v>
      </c>
      <c r="D56" s="10" t="s">
        <v>8</v>
      </c>
      <c r="E56" s="11">
        <f t="shared" si="5"/>
        <v>10</v>
      </c>
      <c r="F56" s="12">
        <v>2700</v>
      </c>
      <c r="G56" s="12">
        <f t="shared" si="4"/>
        <v>27000</v>
      </c>
    </row>
    <row r="57" spans="1:8" x14ac:dyDescent="0.3">
      <c r="A57" s="7">
        <v>48</v>
      </c>
      <c r="B57" s="18" t="s">
        <v>51</v>
      </c>
      <c r="C57" s="11">
        <v>30</v>
      </c>
      <c r="D57" s="10" t="s">
        <v>8</v>
      </c>
      <c r="E57" s="11">
        <f t="shared" si="5"/>
        <v>30</v>
      </c>
      <c r="F57" s="12">
        <v>2700</v>
      </c>
      <c r="G57" s="12">
        <f>(F57*E57)</f>
        <v>81000</v>
      </c>
    </row>
    <row r="58" spans="1:8" x14ac:dyDescent="0.3">
      <c r="A58" s="7">
        <v>49</v>
      </c>
      <c r="B58" s="18" t="s">
        <v>52</v>
      </c>
      <c r="C58" s="11">
        <v>20</v>
      </c>
      <c r="D58" s="10" t="s">
        <v>8</v>
      </c>
      <c r="E58" s="11">
        <f t="shared" si="5"/>
        <v>20</v>
      </c>
      <c r="F58" s="12">
        <v>2700</v>
      </c>
      <c r="G58" s="12">
        <f>(F58*E58)</f>
        <v>54000</v>
      </c>
    </row>
    <row r="59" spans="1:8" x14ac:dyDescent="0.3">
      <c r="A59" s="7">
        <v>50</v>
      </c>
      <c r="B59" s="18" t="s">
        <v>53</v>
      </c>
      <c r="C59" s="11">
        <v>100</v>
      </c>
      <c r="D59" s="10" t="s">
        <v>8</v>
      </c>
      <c r="E59" s="11">
        <f t="shared" si="5"/>
        <v>100</v>
      </c>
      <c r="F59" s="12">
        <v>2700</v>
      </c>
      <c r="G59" s="12">
        <f t="shared" ref="G59:G62" si="6">(F59*E59)</f>
        <v>270000</v>
      </c>
    </row>
    <row r="60" spans="1:8" x14ac:dyDescent="0.3">
      <c r="A60" s="7">
        <v>51</v>
      </c>
      <c r="B60" s="18" t="s">
        <v>54</v>
      </c>
      <c r="C60" s="11">
        <v>30</v>
      </c>
      <c r="D60" s="10" t="s">
        <v>8</v>
      </c>
      <c r="E60" s="11">
        <f t="shared" si="5"/>
        <v>30</v>
      </c>
      <c r="F60" s="12">
        <v>2700</v>
      </c>
      <c r="G60" s="12">
        <f t="shared" si="6"/>
        <v>81000</v>
      </c>
    </row>
    <row r="61" spans="1:8" x14ac:dyDescent="0.3">
      <c r="A61" s="7">
        <v>52</v>
      </c>
      <c r="B61" s="18" t="s">
        <v>102</v>
      </c>
      <c r="C61" s="11">
        <v>100</v>
      </c>
      <c r="D61" s="10" t="s">
        <v>8</v>
      </c>
      <c r="E61" s="11">
        <f t="shared" si="5"/>
        <v>100</v>
      </c>
      <c r="F61" s="12">
        <v>2700</v>
      </c>
      <c r="G61" s="12">
        <f t="shared" si="6"/>
        <v>270000</v>
      </c>
    </row>
    <row r="62" spans="1:8" x14ac:dyDescent="0.3">
      <c r="A62" s="7">
        <v>53</v>
      </c>
      <c r="B62" s="18" t="s">
        <v>103</v>
      </c>
      <c r="C62" s="11">
        <v>10</v>
      </c>
      <c r="D62" s="10" t="s">
        <v>8</v>
      </c>
      <c r="E62" s="11">
        <f t="shared" si="5"/>
        <v>10</v>
      </c>
      <c r="F62" s="12">
        <v>2700</v>
      </c>
      <c r="G62" s="12">
        <f t="shared" si="6"/>
        <v>27000</v>
      </c>
    </row>
    <row r="63" spans="1:8" x14ac:dyDescent="0.3">
      <c r="A63" s="7"/>
      <c r="B63" s="18"/>
      <c r="C63" s="68"/>
      <c r="D63" s="69"/>
      <c r="E63" s="11"/>
      <c r="F63" s="12"/>
      <c r="G63" s="12"/>
    </row>
    <row r="64" spans="1:8" x14ac:dyDescent="0.3">
      <c r="A64" s="7"/>
      <c r="B64" s="18"/>
      <c r="C64" s="104" t="s">
        <v>101</v>
      </c>
      <c r="D64" s="105"/>
      <c r="E64" s="11"/>
      <c r="F64" s="12"/>
      <c r="G64" s="19">
        <f>SUM(G36:G62)</f>
        <v>6156000</v>
      </c>
    </row>
    <row r="65" spans="1:7" s="6" customFormat="1" x14ac:dyDescent="0.3">
      <c r="A65" s="20"/>
      <c r="B65" s="3" t="s">
        <v>55</v>
      </c>
      <c r="C65" s="4" t="s">
        <v>30</v>
      </c>
      <c r="D65" s="3" t="s">
        <v>3</v>
      </c>
      <c r="E65" s="3" t="s">
        <v>4</v>
      </c>
      <c r="F65" s="5" t="s">
        <v>5</v>
      </c>
      <c r="G65" s="5"/>
    </row>
    <row r="66" spans="1:7" x14ac:dyDescent="0.3">
      <c r="A66" s="7">
        <v>54</v>
      </c>
      <c r="B66" s="31" t="s">
        <v>56</v>
      </c>
      <c r="C66" s="32">
        <v>800000</v>
      </c>
      <c r="D66" s="33" t="s">
        <v>57</v>
      </c>
      <c r="E66" s="34">
        <v>296.29629599999998</v>
      </c>
      <c r="F66" s="34">
        <v>2700</v>
      </c>
      <c r="G66" s="35">
        <f>(F66*E66)</f>
        <v>799999.99919999996</v>
      </c>
    </row>
    <row r="67" spans="1:7" x14ac:dyDescent="0.3">
      <c r="A67" s="7">
        <v>55</v>
      </c>
      <c r="B67" s="31" t="s">
        <v>58</v>
      </c>
      <c r="C67" s="32">
        <v>110000</v>
      </c>
      <c r="D67" s="33" t="s">
        <v>59</v>
      </c>
      <c r="E67" s="34">
        <v>40.74074074</v>
      </c>
      <c r="F67" s="34">
        <v>2700</v>
      </c>
      <c r="G67" s="35">
        <f t="shared" ref="G67:G71" si="7">(F67*E67)</f>
        <v>109999.999998</v>
      </c>
    </row>
    <row r="68" spans="1:7" x14ac:dyDescent="0.3">
      <c r="A68" s="7">
        <v>56</v>
      </c>
      <c r="B68" s="31" t="s">
        <v>60</v>
      </c>
      <c r="C68" s="32">
        <v>80000</v>
      </c>
      <c r="D68" s="33" t="s">
        <v>59</v>
      </c>
      <c r="E68" s="34">
        <v>29.629629619999999</v>
      </c>
      <c r="F68" s="34">
        <v>2700</v>
      </c>
      <c r="G68" s="35">
        <f t="shared" si="7"/>
        <v>79999.999973999991</v>
      </c>
    </row>
    <row r="69" spans="1:7" x14ac:dyDescent="0.3">
      <c r="A69" s="7">
        <v>57</v>
      </c>
      <c r="B69" s="31" t="s">
        <v>61</v>
      </c>
      <c r="C69" s="32">
        <v>30000</v>
      </c>
      <c r="D69" s="33" t="s">
        <v>59</v>
      </c>
      <c r="E69" s="34">
        <v>11.111110999999999</v>
      </c>
      <c r="F69" s="34">
        <v>2700</v>
      </c>
      <c r="G69" s="35">
        <f t="shared" si="7"/>
        <v>29999.999699999997</v>
      </c>
    </row>
    <row r="70" spans="1:7" x14ac:dyDescent="0.3">
      <c r="A70" s="7">
        <v>58</v>
      </c>
      <c r="B70" s="31" t="s">
        <v>62</v>
      </c>
      <c r="C70" s="32">
        <v>500000</v>
      </c>
      <c r="D70" s="33" t="s">
        <v>59</v>
      </c>
      <c r="E70" s="34">
        <v>185.18518518510001</v>
      </c>
      <c r="F70" s="34">
        <v>2700</v>
      </c>
      <c r="G70" s="35">
        <f>(E70*F70)</f>
        <v>499999.99999977002</v>
      </c>
    </row>
    <row r="71" spans="1:7" x14ac:dyDescent="0.3">
      <c r="A71" s="7">
        <v>59</v>
      </c>
      <c r="B71" s="31" t="s">
        <v>41</v>
      </c>
      <c r="C71" s="32">
        <v>70000</v>
      </c>
      <c r="D71" s="33" t="s">
        <v>59</v>
      </c>
      <c r="E71" s="34">
        <v>25.925925920000001</v>
      </c>
      <c r="F71" s="34">
        <v>2700</v>
      </c>
      <c r="G71" s="35">
        <f t="shared" si="7"/>
        <v>69999.999984000009</v>
      </c>
    </row>
    <row r="72" spans="1:7" s="39" customFormat="1" x14ac:dyDescent="0.3">
      <c r="A72" s="7"/>
      <c r="B72" s="7"/>
      <c r="C72" s="36"/>
      <c r="D72" s="10"/>
      <c r="E72" s="37"/>
      <c r="F72" s="37"/>
      <c r="G72" s="38"/>
    </row>
    <row r="73" spans="1:7" s="39" customFormat="1" x14ac:dyDescent="0.3">
      <c r="A73" s="7"/>
      <c r="B73" s="7"/>
      <c r="C73" s="36"/>
      <c r="D73" s="10"/>
      <c r="E73" s="40"/>
      <c r="F73" s="37"/>
      <c r="G73" s="41">
        <f>SUM(G66:G72)</f>
        <v>1589999.9988557701</v>
      </c>
    </row>
    <row r="74" spans="1:7" s="39" customFormat="1" x14ac:dyDescent="0.3">
      <c r="A74" s="7"/>
      <c r="B74" s="7"/>
      <c r="C74" s="36"/>
      <c r="D74" s="10"/>
      <c r="F74" s="42"/>
      <c r="G74" s="13"/>
    </row>
    <row r="75" spans="1:7" s="39" customFormat="1" x14ac:dyDescent="0.3">
      <c r="A75" s="7"/>
      <c r="B75" s="7"/>
      <c r="C75" s="36"/>
      <c r="D75" s="101" t="s">
        <v>63</v>
      </c>
      <c r="E75" s="101"/>
      <c r="F75" s="101"/>
      <c r="G75" s="43">
        <f>G15+G34+G64+G73</f>
        <v>12882099.998451227</v>
      </c>
    </row>
    <row r="76" spans="1:7" s="39" customFormat="1" x14ac:dyDescent="0.3">
      <c r="A76" s="7"/>
      <c r="B76" s="7"/>
      <c r="C76" s="36"/>
      <c r="D76" s="10"/>
      <c r="E76" s="42"/>
      <c r="F76" s="13"/>
      <c r="G76" s="13"/>
    </row>
    <row r="77" spans="1:7" s="39" customFormat="1" x14ac:dyDescent="0.3">
      <c r="A77" s="7"/>
      <c r="B77" s="44" t="s">
        <v>64</v>
      </c>
      <c r="C77" s="36"/>
      <c r="D77" s="10"/>
      <c r="E77" s="42"/>
      <c r="F77" s="13"/>
      <c r="G77" s="13"/>
    </row>
    <row r="78" spans="1:7" s="39" customFormat="1" x14ac:dyDescent="0.3">
      <c r="A78" s="7"/>
      <c r="B78" s="7"/>
      <c r="C78" s="36"/>
      <c r="D78" s="10"/>
      <c r="E78" s="42"/>
      <c r="F78" s="13"/>
      <c r="G78" s="13"/>
    </row>
    <row r="79" spans="1:7" x14ac:dyDescent="0.3">
      <c r="A79" s="7"/>
      <c r="B79" s="18" t="s">
        <v>100</v>
      </c>
      <c r="C79" s="45">
        <f>(2575*2780)</f>
        <v>7158500</v>
      </c>
      <c r="D79" s="10" t="s">
        <v>8</v>
      </c>
      <c r="E79" s="27"/>
      <c r="F79" s="46" t="s">
        <v>65</v>
      </c>
      <c r="G79" s="19">
        <f>(G75+C79)</f>
        <v>20040599.998451225</v>
      </c>
    </row>
    <row r="80" spans="1:7" s="39" customFormat="1" x14ac:dyDescent="0.3">
      <c r="A80" s="7"/>
      <c r="B80" s="7"/>
      <c r="C80" s="36"/>
      <c r="D80" s="10"/>
      <c r="E80" s="37"/>
      <c r="F80" s="13"/>
      <c r="G80" s="47"/>
    </row>
    <row r="81" spans="1:7" s="39" customFormat="1" x14ac:dyDescent="0.3">
      <c r="A81" s="7"/>
      <c r="B81" s="7"/>
      <c r="C81" s="48"/>
      <c r="D81" s="7"/>
      <c r="E81" s="37"/>
      <c r="F81" s="13"/>
      <c r="G81" s="47"/>
    </row>
    <row r="82" spans="1:7" x14ac:dyDescent="0.3">
      <c r="A82" s="7"/>
      <c r="B82" s="49" t="s">
        <v>66</v>
      </c>
      <c r="C82" s="50">
        <f>(500*31)</f>
        <v>15500</v>
      </c>
      <c r="D82" s="49" t="s">
        <v>67</v>
      </c>
      <c r="E82" s="50">
        <f>(C82)</f>
        <v>15500</v>
      </c>
      <c r="F82" s="12"/>
      <c r="G82" s="12"/>
    </row>
    <row r="83" spans="1:7" x14ac:dyDescent="0.3">
      <c r="A83" s="7"/>
      <c r="B83" s="49" t="s">
        <v>68</v>
      </c>
      <c r="C83" s="48"/>
      <c r="D83" s="7"/>
      <c r="E83" s="51">
        <f>(E82*2700)</f>
        <v>41850000</v>
      </c>
      <c r="F83" s="12"/>
      <c r="G83" s="12"/>
    </row>
    <row r="84" spans="1:7" x14ac:dyDescent="0.3">
      <c r="A84" s="7"/>
      <c r="B84" s="52" t="s">
        <v>69</v>
      </c>
      <c r="C84" s="53"/>
      <c r="D84" s="49"/>
      <c r="E84" s="42">
        <f>(G79/2700)</f>
        <v>7422.4444438708242</v>
      </c>
      <c r="F84" s="12"/>
      <c r="G84" s="12"/>
    </row>
    <row r="85" spans="1:7" x14ac:dyDescent="0.3">
      <c r="A85" s="7"/>
      <c r="B85" s="52" t="s">
        <v>70</v>
      </c>
      <c r="C85" s="53"/>
      <c r="D85" s="49"/>
      <c r="E85" s="54">
        <f>(G75+C79)</f>
        <v>20040599.998451225</v>
      </c>
      <c r="F85" s="12"/>
      <c r="G85" s="12"/>
    </row>
    <row r="86" spans="1:7" x14ac:dyDescent="0.3">
      <c r="A86" s="7"/>
      <c r="B86" s="52" t="s">
        <v>71</v>
      </c>
      <c r="C86" s="53"/>
      <c r="D86" s="52"/>
      <c r="E86" s="55">
        <f>(E87/2700)</f>
        <v>8077.5555561291758</v>
      </c>
      <c r="F86" s="12"/>
      <c r="G86" s="12"/>
    </row>
    <row r="87" spans="1:7" x14ac:dyDescent="0.3">
      <c r="A87" s="7"/>
      <c r="B87" s="52" t="s">
        <v>72</v>
      </c>
      <c r="C87" s="56"/>
      <c r="D87" s="18"/>
      <c r="E87" s="41">
        <f>(E83-E85)</f>
        <v>21809400.001548775</v>
      </c>
      <c r="F87" s="12"/>
      <c r="G87" s="13"/>
    </row>
    <row r="88" spans="1:7" x14ac:dyDescent="0.3">
      <c r="A88" s="7"/>
      <c r="B88" s="18"/>
      <c r="C88" s="56"/>
      <c r="D88" s="18"/>
      <c r="E88" s="18"/>
      <c r="F88" s="12"/>
      <c r="G88" s="12"/>
    </row>
    <row r="89" spans="1:7" s="59" customFormat="1" x14ac:dyDescent="0.3">
      <c r="A89" s="57"/>
      <c r="B89" s="58" t="s">
        <v>73</v>
      </c>
      <c r="C89" s="102" t="s">
        <v>74</v>
      </c>
      <c r="D89" s="102"/>
      <c r="E89" s="103" t="s">
        <v>75</v>
      </c>
      <c r="F89" s="103"/>
      <c r="G89" s="58" t="s">
        <v>76</v>
      </c>
    </row>
    <row r="90" spans="1:7" x14ac:dyDescent="0.3">
      <c r="A90" s="7"/>
      <c r="B90" s="94" t="s">
        <v>77</v>
      </c>
      <c r="C90" s="95" t="s">
        <v>78</v>
      </c>
      <c r="D90" s="95"/>
      <c r="E90" s="95"/>
      <c r="F90" s="95"/>
      <c r="G90" s="96"/>
    </row>
    <row r="91" spans="1:7" ht="30" customHeight="1" x14ac:dyDescent="0.3">
      <c r="A91" s="7"/>
      <c r="B91" s="94"/>
      <c r="C91" s="95"/>
      <c r="D91" s="95"/>
      <c r="E91" s="95"/>
      <c r="F91" s="95"/>
      <c r="G91" s="96"/>
    </row>
    <row r="92" spans="1:7" x14ac:dyDescent="0.3">
      <c r="A92" s="7"/>
      <c r="B92" s="60" t="s">
        <v>79</v>
      </c>
      <c r="C92" s="106" t="s">
        <v>80</v>
      </c>
      <c r="D92" s="107"/>
      <c r="E92" s="106" t="s">
        <v>81</v>
      </c>
      <c r="F92" s="107"/>
      <c r="G92" s="61" t="s">
        <v>82</v>
      </c>
    </row>
    <row r="93" spans="1:7" ht="42.6" customHeight="1" x14ac:dyDescent="0.3">
      <c r="A93" s="7"/>
      <c r="B93" s="65" t="s">
        <v>83</v>
      </c>
      <c r="C93" s="108" t="s">
        <v>84</v>
      </c>
      <c r="D93" s="109"/>
      <c r="E93" s="110"/>
      <c r="F93" s="111"/>
      <c r="G93" s="12"/>
    </row>
    <row r="94" spans="1:7" s="59" customFormat="1" x14ac:dyDescent="0.3">
      <c r="A94" s="57"/>
      <c r="B94" s="58" t="s">
        <v>85</v>
      </c>
      <c r="C94" s="102" t="s">
        <v>74</v>
      </c>
      <c r="D94" s="102"/>
      <c r="E94" s="103" t="s">
        <v>75</v>
      </c>
      <c r="F94" s="103"/>
      <c r="G94" s="58" t="s">
        <v>76</v>
      </c>
    </row>
    <row r="95" spans="1:7" x14ac:dyDescent="0.3">
      <c r="A95" s="7"/>
      <c r="B95" s="94" t="s">
        <v>86</v>
      </c>
      <c r="C95" s="95" t="s">
        <v>87</v>
      </c>
      <c r="D95" s="95"/>
      <c r="E95" s="94"/>
      <c r="F95" s="94"/>
      <c r="G95" s="96"/>
    </row>
    <row r="96" spans="1:7" ht="34.799999999999997" customHeight="1" x14ac:dyDescent="0.3">
      <c r="A96" s="7"/>
      <c r="B96" s="94"/>
      <c r="C96" s="95"/>
      <c r="D96" s="95"/>
      <c r="E96" s="94"/>
      <c r="F96" s="94"/>
      <c r="G96" s="96"/>
    </row>
  </sheetData>
  <mergeCells count="20">
    <mergeCell ref="G90:G91"/>
    <mergeCell ref="C92:D92"/>
    <mergeCell ref="E92:F92"/>
    <mergeCell ref="A1:G1"/>
    <mergeCell ref="C2:E2"/>
    <mergeCell ref="C64:D64"/>
    <mergeCell ref="D75:F75"/>
    <mergeCell ref="C89:D89"/>
    <mergeCell ref="E89:F89"/>
    <mergeCell ref="B95:B96"/>
    <mergeCell ref="C95:D96"/>
    <mergeCell ref="E95:F96"/>
    <mergeCell ref="B90:B91"/>
    <mergeCell ref="C90:D91"/>
    <mergeCell ref="E90:F91"/>
    <mergeCell ref="G95:G96"/>
    <mergeCell ref="C93:D93"/>
    <mergeCell ref="E93:F93"/>
    <mergeCell ref="C94:D94"/>
    <mergeCell ref="E94:F94"/>
  </mergeCells>
  <pageMargins left="0.7" right="0.7" top="0.75" bottom="0.75" header="0.3" footer="0.3"/>
  <pageSetup paperSize="9" scale="4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opLeftCell="A53" zoomScaleNormal="100" workbookViewId="0">
      <selection activeCell="H24" sqref="H24"/>
    </sheetView>
  </sheetViews>
  <sheetFormatPr defaultColWidth="14.44140625" defaultRowHeight="13.8" x14ac:dyDescent="0.3"/>
  <cols>
    <col min="1" max="1" width="5" style="39" bestFit="1" customWidth="1"/>
    <col min="2" max="2" width="39.6640625" style="1" customWidth="1"/>
    <col min="3" max="3" width="19.109375" style="63" customWidth="1"/>
    <col min="4" max="4" width="19.88671875" style="1" customWidth="1"/>
    <col min="5" max="5" width="16.44140625" style="1" bestFit="1" customWidth="1"/>
    <col min="6" max="6" width="19.21875" style="64" customWidth="1"/>
    <col min="7" max="7" width="24.33203125" style="64" customWidth="1"/>
    <col min="8" max="18" width="30.88671875" style="1" customWidth="1"/>
    <col min="19" max="16384" width="14.44140625" style="1"/>
  </cols>
  <sheetData>
    <row r="1" spans="1:8" ht="50.4" customHeight="1" x14ac:dyDescent="0.3">
      <c r="A1" s="97" t="s">
        <v>108</v>
      </c>
      <c r="B1" s="97"/>
      <c r="C1" s="97"/>
      <c r="D1" s="97"/>
      <c r="E1" s="97"/>
      <c r="F1" s="97"/>
      <c r="G1" s="97"/>
    </row>
    <row r="2" spans="1:8" ht="36.6" customHeight="1" x14ac:dyDescent="0.3">
      <c r="A2" s="66"/>
      <c r="B2" s="66"/>
      <c r="C2" s="98" t="s">
        <v>109</v>
      </c>
      <c r="D2" s="99"/>
      <c r="E2" s="100"/>
      <c r="F2" s="66"/>
      <c r="G2" s="66"/>
    </row>
    <row r="3" spans="1:8" s="6" customFormat="1" x14ac:dyDescent="0.3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5" t="s">
        <v>5</v>
      </c>
      <c r="G3" s="5" t="s">
        <v>6</v>
      </c>
    </row>
    <row r="4" spans="1:8" ht="14.4" x14ac:dyDescent="0.3">
      <c r="A4" s="7">
        <v>1</v>
      </c>
      <c r="B4" s="8" t="s">
        <v>7</v>
      </c>
      <c r="C4" s="9">
        <v>2000000</v>
      </c>
      <c r="D4" s="10" t="s">
        <v>8</v>
      </c>
      <c r="E4" s="11">
        <v>740.74074074073997</v>
      </c>
      <c r="F4" s="12">
        <v>2700</v>
      </c>
      <c r="G4" s="12">
        <f>(F4*E4)</f>
        <v>1999999.9999999979</v>
      </c>
    </row>
    <row r="5" spans="1:8" ht="14.4" x14ac:dyDescent="0.3">
      <c r="A5" s="7">
        <v>2</v>
      </c>
      <c r="B5" s="8" t="s">
        <v>9</v>
      </c>
      <c r="C5" s="9">
        <v>15000</v>
      </c>
      <c r="D5" s="10" t="s">
        <v>8</v>
      </c>
      <c r="E5" s="11">
        <v>5.5555555549999998</v>
      </c>
      <c r="F5" s="12">
        <v>2700</v>
      </c>
      <c r="G5" s="12">
        <f>(F5*E5)</f>
        <v>14999.999998499999</v>
      </c>
    </row>
    <row r="6" spans="1:8" ht="14.4" x14ac:dyDescent="0.3">
      <c r="A6" s="7">
        <v>3</v>
      </c>
      <c r="B6" s="8" t="s">
        <v>10</v>
      </c>
      <c r="C6" s="9">
        <v>30000</v>
      </c>
      <c r="D6" s="10" t="s">
        <v>8</v>
      </c>
      <c r="E6" s="11">
        <v>11.1111111</v>
      </c>
      <c r="F6" s="12">
        <v>2700</v>
      </c>
      <c r="G6" s="12">
        <f>(F6*E6)</f>
        <v>29999.999970000001</v>
      </c>
    </row>
    <row r="7" spans="1:8" ht="14.4" x14ac:dyDescent="0.3">
      <c r="A7" s="7">
        <v>4</v>
      </c>
      <c r="B7" s="8" t="s">
        <v>95</v>
      </c>
      <c r="C7" s="9">
        <v>60000</v>
      </c>
      <c r="D7" s="10" t="s">
        <v>8</v>
      </c>
      <c r="E7" s="11">
        <v>22.222222200000001</v>
      </c>
      <c r="F7" s="12">
        <v>2700</v>
      </c>
      <c r="G7" s="12">
        <f>E7*F7</f>
        <v>59999.999940000002</v>
      </c>
    </row>
    <row r="8" spans="1:8" ht="14.4" x14ac:dyDescent="0.3">
      <c r="A8" s="7">
        <v>5</v>
      </c>
      <c r="B8" s="8" t="s">
        <v>11</v>
      </c>
      <c r="C8" s="9">
        <v>40000</v>
      </c>
      <c r="D8" s="10" t="s">
        <v>8</v>
      </c>
      <c r="E8" s="11">
        <v>14.8148148148</v>
      </c>
      <c r="F8" s="12">
        <v>2700</v>
      </c>
      <c r="G8" s="12">
        <f t="shared" ref="G8:G13" si="0">(F8*E8)</f>
        <v>39999.999999959997</v>
      </c>
    </row>
    <row r="9" spans="1:8" ht="14.4" x14ac:dyDescent="0.3">
      <c r="A9" s="7">
        <v>6</v>
      </c>
      <c r="B9" s="8" t="s">
        <v>12</v>
      </c>
      <c r="C9" s="9">
        <v>77500</v>
      </c>
      <c r="D9" s="10" t="s">
        <v>8</v>
      </c>
      <c r="E9" s="11">
        <v>28.703703699999998</v>
      </c>
      <c r="F9" s="13">
        <v>2700</v>
      </c>
      <c r="G9" s="12">
        <f>(F9*E9)</f>
        <v>77499.999989999997</v>
      </c>
    </row>
    <row r="10" spans="1:8" ht="14.4" x14ac:dyDescent="0.3">
      <c r="A10" s="7">
        <v>7</v>
      </c>
      <c r="B10" s="8" t="s">
        <v>98</v>
      </c>
      <c r="C10" s="9">
        <v>30000</v>
      </c>
      <c r="D10" s="10" t="s">
        <v>99</v>
      </c>
      <c r="E10" s="11">
        <v>11.111110999999999</v>
      </c>
      <c r="F10" s="13">
        <v>2700</v>
      </c>
      <c r="G10" s="12">
        <f>(F10*E10)</f>
        <v>29999.999699999997</v>
      </c>
    </row>
    <row r="11" spans="1:8" ht="14.4" x14ac:dyDescent="0.3">
      <c r="A11" s="7">
        <v>8</v>
      </c>
      <c r="B11" s="8" t="s">
        <v>13</v>
      </c>
      <c r="C11" s="9">
        <v>30000</v>
      </c>
      <c r="D11" s="10" t="s">
        <v>14</v>
      </c>
      <c r="E11" s="11">
        <v>11.11111111</v>
      </c>
      <c r="F11" s="12">
        <v>2700</v>
      </c>
      <c r="G11" s="12">
        <f t="shared" si="0"/>
        <v>29999.999996999999</v>
      </c>
    </row>
    <row r="12" spans="1:8" ht="14.4" x14ac:dyDescent="0.3">
      <c r="A12" s="7">
        <v>9</v>
      </c>
      <c r="B12" s="8" t="s">
        <v>15</v>
      </c>
      <c r="C12" s="14">
        <v>5</v>
      </c>
      <c r="D12" s="10" t="s">
        <v>16</v>
      </c>
      <c r="E12" s="11">
        <v>3.7037037037037002</v>
      </c>
      <c r="F12" s="12">
        <v>2700</v>
      </c>
      <c r="G12" s="67">
        <f t="shared" si="0"/>
        <v>9999.9999999999909</v>
      </c>
      <c r="H12" s="16"/>
    </row>
    <row r="13" spans="1:8" ht="14.4" x14ac:dyDescent="0.3">
      <c r="A13" s="7">
        <v>10</v>
      </c>
      <c r="B13" s="8" t="s">
        <v>17</v>
      </c>
      <c r="C13" s="14">
        <v>12</v>
      </c>
      <c r="D13" s="10" t="s">
        <v>8</v>
      </c>
      <c r="E13" s="11">
        <v>12</v>
      </c>
      <c r="F13" s="12">
        <v>2700</v>
      </c>
      <c r="G13" s="67">
        <f t="shared" si="0"/>
        <v>32400</v>
      </c>
      <c r="H13" s="16"/>
    </row>
    <row r="14" spans="1:8" ht="14.4" x14ac:dyDescent="0.3">
      <c r="A14" s="7"/>
      <c r="B14" s="8"/>
      <c r="C14" s="14"/>
      <c r="D14" s="10"/>
      <c r="E14" s="11"/>
      <c r="F14" s="12"/>
      <c r="G14" s="15"/>
      <c r="H14" s="16"/>
    </row>
    <row r="15" spans="1:8" ht="14.4" x14ac:dyDescent="0.3">
      <c r="A15" s="7"/>
      <c r="B15" s="8"/>
      <c r="C15" s="17"/>
      <c r="D15" s="10"/>
      <c r="E15" s="18"/>
      <c r="F15" s="12"/>
      <c r="G15" s="19">
        <f>SUM(G4:G14)</f>
        <v>2324899.9995954582</v>
      </c>
    </row>
    <row r="16" spans="1:8" s="6" customFormat="1" x14ac:dyDescent="0.3">
      <c r="A16" s="20"/>
      <c r="B16" s="3" t="s">
        <v>18</v>
      </c>
      <c r="C16" s="4" t="s">
        <v>2</v>
      </c>
      <c r="D16" s="3" t="s">
        <v>3</v>
      </c>
      <c r="E16" s="3" t="s">
        <v>4</v>
      </c>
      <c r="F16" s="5" t="s">
        <v>5</v>
      </c>
      <c r="G16" s="5"/>
    </row>
    <row r="17" spans="1:8" ht="14.4" x14ac:dyDescent="0.3">
      <c r="A17" s="7">
        <v>11</v>
      </c>
      <c r="B17" s="8" t="s">
        <v>19</v>
      </c>
      <c r="C17" s="21">
        <v>356</v>
      </c>
      <c r="D17" s="10" t="s">
        <v>8</v>
      </c>
      <c r="E17" s="22">
        <f>(C17)</f>
        <v>356</v>
      </c>
      <c r="F17" s="12">
        <v>2700</v>
      </c>
      <c r="G17" s="12">
        <f>(F17*E17)</f>
        <v>961200</v>
      </c>
    </row>
    <row r="18" spans="1:8" ht="14.4" x14ac:dyDescent="0.3">
      <c r="A18" s="7">
        <v>12</v>
      </c>
      <c r="B18" s="8" t="s">
        <v>20</v>
      </c>
      <c r="C18" s="23">
        <v>250</v>
      </c>
      <c r="D18" s="10" t="s">
        <v>8</v>
      </c>
      <c r="E18" s="22">
        <f t="shared" ref="E18" si="1">(C18*0.0375)</f>
        <v>9.375</v>
      </c>
      <c r="F18" s="12">
        <v>130</v>
      </c>
      <c r="G18" s="12">
        <f>(C18*F18)</f>
        <v>32500</v>
      </c>
    </row>
    <row r="19" spans="1:8" ht="14.4" x14ac:dyDescent="0.3">
      <c r="A19" s="7">
        <v>13</v>
      </c>
      <c r="B19" s="8" t="s">
        <v>88</v>
      </c>
      <c r="C19" s="24">
        <v>600</v>
      </c>
      <c r="D19" s="10" t="s">
        <v>8</v>
      </c>
      <c r="E19" s="22">
        <f>(C19*0.0375)</f>
        <v>22.5</v>
      </c>
      <c r="F19" s="12">
        <v>130</v>
      </c>
      <c r="G19" s="12">
        <f t="shared" ref="G19:G32" si="2">(C19*F19)</f>
        <v>78000</v>
      </c>
      <c r="H19" s="16"/>
    </row>
    <row r="20" spans="1:8" ht="14.4" x14ac:dyDescent="0.3">
      <c r="A20" s="7">
        <v>14</v>
      </c>
      <c r="B20" s="8" t="s">
        <v>21</v>
      </c>
      <c r="C20" s="24">
        <v>600</v>
      </c>
      <c r="D20" s="10" t="s">
        <v>8</v>
      </c>
      <c r="E20" s="22">
        <f t="shared" ref="E20:E30" si="3">(C20*0.0375)</f>
        <v>22.5</v>
      </c>
      <c r="F20" s="12">
        <v>130</v>
      </c>
      <c r="G20" s="12">
        <f t="shared" si="2"/>
        <v>78000</v>
      </c>
    </row>
    <row r="21" spans="1:8" ht="14.4" x14ac:dyDescent="0.3">
      <c r="A21" s="7">
        <v>15</v>
      </c>
      <c r="B21" s="8" t="s">
        <v>89</v>
      </c>
      <c r="C21" s="24">
        <v>600</v>
      </c>
      <c r="D21" s="10" t="s">
        <v>8</v>
      </c>
      <c r="E21" s="22">
        <f t="shared" si="3"/>
        <v>22.5</v>
      </c>
      <c r="F21" s="12">
        <v>130</v>
      </c>
      <c r="G21" s="12">
        <f t="shared" si="2"/>
        <v>78000</v>
      </c>
    </row>
    <row r="22" spans="1:8" ht="14.4" x14ac:dyDescent="0.3">
      <c r="A22" s="7">
        <v>16</v>
      </c>
      <c r="B22" s="8" t="s">
        <v>90</v>
      </c>
      <c r="C22" s="24">
        <v>600</v>
      </c>
      <c r="D22" s="10" t="s">
        <v>8</v>
      </c>
      <c r="E22" s="22">
        <f t="shared" si="3"/>
        <v>22.5</v>
      </c>
      <c r="F22" s="12">
        <v>130</v>
      </c>
      <c r="G22" s="12">
        <f t="shared" si="2"/>
        <v>78000</v>
      </c>
    </row>
    <row r="23" spans="1:8" ht="14.4" x14ac:dyDescent="0.3">
      <c r="A23" s="7">
        <v>17</v>
      </c>
      <c r="B23" s="8" t="s">
        <v>91</v>
      </c>
      <c r="C23" s="24">
        <v>600</v>
      </c>
      <c r="D23" s="10" t="s">
        <v>8</v>
      </c>
      <c r="E23" s="22">
        <f t="shared" si="3"/>
        <v>22.5</v>
      </c>
      <c r="F23" s="12">
        <v>130</v>
      </c>
      <c r="G23" s="12">
        <f t="shared" si="2"/>
        <v>78000</v>
      </c>
    </row>
    <row r="24" spans="1:8" ht="14.4" x14ac:dyDescent="0.3">
      <c r="A24" s="7">
        <v>18</v>
      </c>
      <c r="B24" s="8" t="s">
        <v>93</v>
      </c>
      <c r="C24" s="24">
        <v>690</v>
      </c>
      <c r="D24" s="10" t="s">
        <v>8</v>
      </c>
      <c r="E24" s="22">
        <f t="shared" si="3"/>
        <v>25.875</v>
      </c>
      <c r="F24" s="12">
        <v>130</v>
      </c>
      <c r="G24" s="12">
        <f t="shared" si="2"/>
        <v>89700</v>
      </c>
    </row>
    <row r="25" spans="1:8" ht="14.4" x14ac:dyDescent="0.3">
      <c r="A25" s="7">
        <v>19</v>
      </c>
      <c r="B25" s="8" t="s">
        <v>92</v>
      </c>
      <c r="C25" s="24">
        <v>600</v>
      </c>
      <c r="D25" s="10" t="s">
        <v>8</v>
      </c>
      <c r="E25" s="22">
        <f t="shared" si="3"/>
        <v>22.5</v>
      </c>
      <c r="F25" s="12">
        <v>130</v>
      </c>
      <c r="G25" s="12">
        <f t="shared" si="2"/>
        <v>78000</v>
      </c>
    </row>
    <row r="26" spans="1:8" ht="14.4" x14ac:dyDescent="0.3">
      <c r="A26" s="7">
        <v>20</v>
      </c>
      <c r="B26" s="8" t="s">
        <v>23</v>
      </c>
      <c r="C26" s="24">
        <v>3100</v>
      </c>
      <c r="D26" s="10" t="s">
        <v>8</v>
      </c>
      <c r="E26" s="22">
        <f t="shared" si="3"/>
        <v>116.25</v>
      </c>
      <c r="F26" s="12">
        <v>130</v>
      </c>
      <c r="G26" s="12">
        <f t="shared" si="2"/>
        <v>403000</v>
      </c>
    </row>
    <row r="27" spans="1:8" ht="14.4" x14ac:dyDescent="0.3">
      <c r="A27" s="7">
        <v>21</v>
      </c>
      <c r="B27" s="8" t="s">
        <v>22</v>
      </c>
      <c r="C27" s="24">
        <v>200</v>
      </c>
      <c r="D27" s="10" t="s">
        <v>8</v>
      </c>
      <c r="E27" s="22">
        <f t="shared" si="3"/>
        <v>7.5</v>
      </c>
      <c r="F27" s="12">
        <v>120</v>
      </c>
      <c r="G27" s="12">
        <f t="shared" si="2"/>
        <v>24000</v>
      </c>
    </row>
    <row r="28" spans="1:8" ht="14.4" x14ac:dyDescent="0.3">
      <c r="A28" s="7">
        <v>22</v>
      </c>
      <c r="B28" s="8" t="s">
        <v>24</v>
      </c>
      <c r="C28" s="25">
        <v>100</v>
      </c>
      <c r="D28" s="10" t="s">
        <v>8</v>
      </c>
      <c r="E28" s="22">
        <f t="shared" si="3"/>
        <v>3.75</v>
      </c>
      <c r="F28" s="12">
        <v>120</v>
      </c>
      <c r="G28" s="12">
        <f t="shared" si="2"/>
        <v>12000</v>
      </c>
    </row>
    <row r="29" spans="1:8" ht="14.4" x14ac:dyDescent="0.3">
      <c r="A29" s="7">
        <v>23</v>
      </c>
      <c r="B29" s="8" t="s">
        <v>25</v>
      </c>
      <c r="C29" s="26">
        <v>200</v>
      </c>
      <c r="D29" s="10" t="s">
        <v>8</v>
      </c>
      <c r="E29" s="22">
        <v>200</v>
      </c>
      <c r="F29" s="12">
        <v>2700</v>
      </c>
      <c r="G29" s="12">
        <f t="shared" si="2"/>
        <v>540000</v>
      </c>
    </row>
    <row r="30" spans="1:8" ht="14.4" x14ac:dyDescent="0.3">
      <c r="A30" s="7">
        <v>24</v>
      </c>
      <c r="B30" s="8" t="s">
        <v>26</v>
      </c>
      <c r="C30" s="25">
        <v>50</v>
      </c>
      <c r="D30" s="10" t="s">
        <v>8</v>
      </c>
      <c r="E30" s="22">
        <f t="shared" si="3"/>
        <v>1.875</v>
      </c>
      <c r="F30" s="12">
        <v>130</v>
      </c>
      <c r="G30" s="12">
        <f t="shared" si="2"/>
        <v>6500</v>
      </c>
    </row>
    <row r="31" spans="1:8" ht="14.4" x14ac:dyDescent="0.3">
      <c r="A31" s="7">
        <v>25</v>
      </c>
      <c r="B31" s="8" t="s">
        <v>27</v>
      </c>
      <c r="C31" s="25">
        <v>1080</v>
      </c>
      <c r="D31" s="10" t="s">
        <v>8</v>
      </c>
      <c r="E31" s="22">
        <v>48</v>
      </c>
      <c r="F31" s="12">
        <v>130</v>
      </c>
      <c r="G31" s="12">
        <f t="shared" si="2"/>
        <v>140400</v>
      </c>
    </row>
    <row r="32" spans="1:8" ht="14.4" x14ac:dyDescent="0.3">
      <c r="A32" s="7">
        <v>26</v>
      </c>
      <c r="B32" s="8" t="s">
        <v>28</v>
      </c>
      <c r="C32" s="25">
        <v>1030</v>
      </c>
      <c r="D32" s="10" t="s">
        <v>8</v>
      </c>
      <c r="E32" s="22">
        <v>45</v>
      </c>
      <c r="F32" s="12">
        <v>130</v>
      </c>
      <c r="G32" s="12">
        <f t="shared" si="2"/>
        <v>133900</v>
      </c>
    </row>
    <row r="33" spans="1:7" ht="14.4" x14ac:dyDescent="0.3">
      <c r="A33" s="7"/>
      <c r="B33" s="8"/>
      <c r="C33" s="25"/>
      <c r="D33" s="10"/>
      <c r="E33" s="27"/>
      <c r="F33" s="12"/>
      <c r="G33" s="28"/>
    </row>
    <row r="34" spans="1:7" ht="14.4" x14ac:dyDescent="0.3">
      <c r="A34" s="7"/>
      <c r="B34" s="8"/>
      <c r="C34" s="17"/>
      <c r="D34" s="10"/>
      <c r="E34" s="18"/>
      <c r="F34" s="12"/>
      <c r="G34" s="19">
        <f>SUM(G17:G33)</f>
        <v>2811200</v>
      </c>
    </row>
    <row r="35" spans="1:7" s="6" customFormat="1" x14ac:dyDescent="0.3">
      <c r="A35" s="20"/>
      <c r="B35" s="3" t="s">
        <v>29</v>
      </c>
      <c r="C35" s="4" t="s">
        <v>30</v>
      </c>
      <c r="D35" s="3" t="s">
        <v>3</v>
      </c>
      <c r="E35" s="3" t="s">
        <v>4</v>
      </c>
      <c r="F35" s="5" t="s">
        <v>5</v>
      </c>
      <c r="G35" s="5"/>
    </row>
    <row r="36" spans="1:7" ht="14.4" x14ac:dyDescent="0.3">
      <c r="A36" s="7">
        <v>27</v>
      </c>
      <c r="B36" s="8" t="s">
        <v>31</v>
      </c>
      <c r="C36" s="29">
        <v>300</v>
      </c>
      <c r="D36" s="10" t="s">
        <v>8</v>
      </c>
      <c r="E36" s="11">
        <f>(C36)</f>
        <v>300</v>
      </c>
      <c r="F36" s="12">
        <v>2700</v>
      </c>
      <c r="G36" s="12">
        <f>(F36*E36)</f>
        <v>810000</v>
      </c>
    </row>
    <row r="37" spans="1:7" ht="14.4" x14ac:dyDescent="0.3">
      <c r="A37" s="7">
        <v>28</v>
      </c>
      <c r="B37" s="8" t="s">
        <v>32</v>
      </c>
      <c r="C37" s="29">
        <v>200</v>
      </c>
      <c r="D37" s="10" t="s">
        <v>8</v>
      </c>
      <c r="E37" s="11">
        <v>200</v>
      </c>
      <c r="F37" s="12">
        <v>2700</v>
      </c>
      <c r="G37" s="12">
        <f t="shared" ref="G37:G55" si="4">(F37*E37)</f>
        <v>540000</v>
      </c>
    </row>
    <row r="38" spans="1:7" ht="14.4" x14ac:dyDescent="0.3">
      <c r="A38" s="7">
        <v>29</v>
      </c>
      <c r="B38" s="8" t="s">
        <v>33</v>
      </c>
      <c r="C38" s="29">
        <v>25</v>
      </c>
      <c r="D38" s="10" t="s">
        <v>8</v>
      </c>
      <c r="E38" s="11">
        <f t="shared" ref="E38:E61" si="5">(C38)</f>
        <v>25</v>
      </c>
      <c r="F38" s="12">
        <v>2700</v>
      </c>
      <c r="G38" s="12">
        <f t="shared" si="4"/>
        <v>67500</v>
      </c>
    </row>
    <row r="39" spans="1:7" ht="14.4" x14ac:dyDescent="0.3">
      <c r="A39" s="7">
        <v>31</v>
      </c>
      <c r="B39" s="8" t="s">
        <v>35</v>
      </c>
      <c r="C39" s="29">
        <v>100</v>
      </c>
      <c r="D39" s="10" t="s">
        <v>8</v>
      </c>
      <c r="E39" s="11">
        <v>100</v>
      </c>
      <c r="F39" s="12">
        <v>2700</v>
      </c>
      <c r="G39" s="12">
        <f>(F39*E39)</f>
        <v>270000</v>
      </c>
    </row>
    <row r="40" spans="1:7" x14ac:dyDescent="0.3">
      <c r="A40" s="7">
        <v>32</v>
      </c>
      <c r="B40" s="8" t="s">
        <v>36</v>
      </c>
      <c r="C40" s="29">
        <v>40</v>
      </c>
      <c r="D40" s="10" t="s">
        <v>8</v>
      </c>
      <c r="E40" s="11">
        <f t="shared" si="5"/>
        <v>40</v>
      </c>
      <c r="F40" s="12">
        <v>2700</v>
      </c>
      <c r="G40" s="12">
        <f t="shared" si="4"/>
        <v>108000</v>
      </c>
    </row>
    <row r="41" spans="1:7" x14ac:dyDescent="0.3">
      <c r="A41" s="7">
        <v>33</v>
      </c>
      <c r="B41" s="8" t="s">
        <v>37</v>
      </c>
      <c r="C41" s="29">
        <v>50</v>
      </c>
      <c r="D41" s="10" t="s">
        <v>8</v>
      </c>
      <c r="E41" s="11">
        <f t="shared" si="5"/>
        <v>50</v>
      </c>
      <c r="F41" s="12">
        <v>2700</v>
      </c>
      <c r="G41" s="12">
        <f t="shared" si="4"/>
        <v>135000</v>
      </c>
    </row>
    <row r="42" spans="1:7" x14ac:dyDescent="0.3">
      <c r="A42" s="7">
        <v>34</v>
      </c>
      <c r="B42" s="8" t="s">
        <v>38</v>
      </c>
      <c r="C42" s="29">
        <v>150</v>
      </c>
      <c r="D42" s="10" t="s">
        <v>8</v>
      </c>
      <c r="E42" s="11">
        <f t="shared" si="5"/>
        <v>150</v>
      </c>
      <c r="F42" s="12">
        <v>2700</v>
      </c>
      <c r="G42" s="12">
        <f t="shared" si="4"/>
        <v>405000</v>
      </c>
    </row>
    <row r="43" spans="1:7" x14ac:dyDescent="0.3">
      <c r="A43" s="7">
        <v>35</v>
      </c>
      <c r="B43" s="8" t="s">
        <v>39</v>
      </c>
      <c r="C43" s="29">
        <v>10</v>
      </c>
      <c r="D43" s="10" t="s">
        <v>8</v>
      </c>
      <c r="E43" s="11">
        <f t="shared" si="5"/>
        <v>10</v>
      </c>
      <c r="F43" s="12">
        <v>2700</v>
      </c>
      <c r="G43" s="12">
        <f t="shared" si="4"/>
        <v>27000</v>
      </c>
    </row>
    <row r="44" spans="1:7" ht="14.4" x14ac:dyDescent="0.3">
      <c r="A44" s="7">
        <v>36</v>
      </c>
      <c r="B44" s="8" t="s">
        <v>94</v>
      </c>
      <c r="C44" s="29">
        <v>40</v>
      </c>
      <c r="D44" s="10" t="s">
        <v>8</v>
      </c>
      <c r="E44" s="11">
        <f t="shared" si="5"/>
        <v>40</v>
      </c>
      <c r="F44" s="12">
        <v>2700</v>
      </c>
      <c r="G44" s="12">
        <f t="shared" si="4"/>
        <v>108000</v>
      </c>
    </row>
    <row r="45" spans="1:7" ht="14.4" x14ac:dyDescent="0.3">
      <c r="A45" s="7">
        <v>37</v>
      </c>
      <c r="B45" s="8" t="s">
        <v>40</v>
      </c>
      <c r="C45" s="29">
        <v>60</v>
      </c>
      <c r="D45" s="10" t="s">
        <v>8</v>
      </c>
      <c r="E45" s="11">
        <f t="shared" si="5"/>
        <v>60</v>
      </c>
      <c r="F45" s="12">
        <v>2700</v>
      </c>
      <c r="G45" s="12">
        <f t="shared" si="4"/>
        <v>162000</v>
      </c>
    </row>
    <row r="46" spans="1:7" ht="14.4" x14ac:dyDescent="0.3">
      <c r="A46" s="7">
        <v>38</v>
      </c>
      <c r="B46" s="8" t="s">
        <v>41</v>
      </c>
      <c r="C46" s="29">
        <v>10</v>
      </c>
      <c r="D46" s="10" t="s">
        <v>8</v>
      </c>
      <c r="E46" s="11">
        <f t="shared" si="5"/>
        <v>10</v>
      </c>
      <c r="F46" s="12">
        <v>2700</v>
      </c>
      <c r="G46" s="12">
        <f t="shared" si="4"/>
        <v>27000</v>
      </c>
    </row>
    <row r="47" spans="1:7" x14ac:dyDescent="0.3">
      <c r="A47" s="7">
        <v>39</v>
      </c>
      <c r="B47" s="8" t="s">
        <v>42</v>
      </c>
      <c r="C47" s="29">
        <v>25</v>
      </c>
      <c r="D47" s="10" t="s">
        <v>8</v>
      </c>
      <c r="E47" s="11">
        <f t="shared" si="5"/>
        <v>25</v>
      </c>
      <c r="F47" s="12">
        <v>2700</v>
      </c>
      <c r="G47" s="12">
        <f t="shared" si="4"/>
        <v>67500</v>
      </c>
    </row>
    <row r="48" spans="1:7" ht="14.4" x14ac:dyDescent="0.3">
      <c r="A48" s="7">
        <v>40</v>
      </c>
      <c r="B48" s="8" t="s">
        <v>43</v>
      </c>
      <c r="C48" s="29">
        <v>10</v>
      </c>
      <c r="D48" s="10" t="s">
        <v>8</v>
      </c>
      <c r="E48" s="11">
        <f t="shared" si="5"/>
        <v>10</v>
      </c>
      <c r="F48" s="12">
        <v>2700</v>
      </c>
      <c r="G48" s="12">
        <f t="shared" si="4"/>
        <v>27000</v>
      </c>
    </row>
    <row r="49" spans="1:8" x14ac:dyDescent="0.3">
      <c r="A49" s="7">
        <v>41</v>
      </c>
      <c r="B49" s="8" t="s">
        <v>44</v>
      </c>
      <c r="C49" s="29">
        <v>150</v>
      </c>
      <c r="D49" s="10" t="s">
        <v>8</v>
      </c>
      <c r="E49" s="11">
        <f t="shared" si="5"/>
        <v>150</v>
      </c>
      <c r="F49" s="12">
        <v>2700</v>
      </c>
      <c r="G49" s="12">
        <f t="shared" si="4"/>
        <v>405000</v>
      </c>
    </row>
    <row r="50" spans="1:8" x14ac:dyDescent="0.3">
      <c r="A50" s="7">
        <v>42</v>
      </c>
      <c r="B50" s="8" t="s">
        <v>45</v>
      </c>
      <c r="C50" s="29">
        <v>150</v>
      </c>
      <c r="D50" s="10" t="s">
        <v>8</v>
      </c>
      <c r="E50" s="11">
        <v>150</v>
      </c>
      <c r="F50" s="12">
        <v>2700</v>
      </c>
      <c r="G50" s="12">
        <f>(F50*E50)</f>
        <v>405000</v>
      </c>
      <c r="H50" s="16"/>
    </row>
    <row r="51" spans="1:8" x14ac:dyDescent="0.3">
      <c r="A51" s="7">
        <v>43</v>
      </c>
      <c r="B51" s="8" t="s">
        <v>46</v>
      </c>
      <c r="C51" s="29">
        <v>150</v>
      </c>
      <c r="D51" s="10" t="s">
        <v>8</v>
      </c>
      <c r="E51" s="11">
        <f>(C51)</f>
        <v>150</v>
      </c>
      <c r="F51" s="12">
        <v>2700</v>
      </c>
      <c r="G51" s="12">
        <f t="shared" si="4"/>
        <v>405000</v>
      </c>
    </row>
    <row r="52" spans="1:8" x14ac:dyDescent="0.3">
      <c r="A52" s="7">
        <v>44</v>
      </c>
      <c r="B52" s="18" t="s">
        <v>47</v>
      </c>
      <c r="C52" s="30">
        <v>160</v>
      </c>
      <c r="D52" s="10" t="s">
        <v>8</v>
      </c>
      <c r="E52" s="11">
        <f t="shared" si="5"/>
        <v>160</v>
      </c>
      <c r="F52" s="12">
        <v>2700</v>
      </c>
      <c r="G52" s="12">
        <f t="shared" si="4"/>
        <v>432000</v>
      </c>
    </row>
    <row r="53" spans="1:8" x14ac:dyDescent="0.3">
      <c r="A53" s="7">
        <v>45</v>
      </c>
      <c r="B53" s="18" t="s">
        <v>48</v>
      </c>
      <c r="C53" s="11">
        <v>100</v>
      </c>
      <c r="D53" s="10" t="s">
        <v>8</v>
      </c>
      <c r="E53" s="11">
        <f t="shared" si="5"/>
        <v>100</v>
      </c>
      <c r="F53" s="12">
        <v>2700</v>
      </c>
      <c r="G53" s="12">
        <f t="shared" si="4"/>
        <v>270000</v>
      </c>
    </row>
    <row r="54" spans="1:8" x14ac:dyDescent="0.3">
      <c r="A54" s="7">
        <v>46</v>
      </c>
      <c r="B54" s="7" t="s">
        <v>49</v>
      </c>
      <c r="C54" s="11">
        <v>150</v>
      </c>
      <c r="D54" s="10" t="s">
        <v>8</v>
      </c>
      <c r="E54" s="11">
        <f t="shared" si="5"/>
        <v>150</v>
      </c>
      <c r="F54" s="12">
        <v>2700</v>
      </c>
      <c r="G54" s="12">
        <f t="shared" si="4"/>
        <v>405000</v>
      </c>
    </row>
    <row r="55" spans="1:8" x14ac:dyDescent="0.3">
      <c r="A55" s="7">
        <v>47</v>
      </c>
      <c r="B55" s="18" t="s">
        <v>50</v>
      </c>
      <c r="C55" s="11">
        <v>10</v>
      </c>
      <c r="D55" s="10" t="s">
        <v>8</v>
      </c>
      <c r="E55" s="11">
        <f t="shared" si="5"/>
        <v>10</v>
      </c>
      <c r="F55" s="12">
        <v>2700</v>
      </c>
      <c r="G55" s="12">
        <f t="shared" si="4"/>
        <v>27000</v>
      </c>
    </row>
    <row r="56" spans="1:8" x14ac:dyDescent="0.3">
      <c r="A56" s="7">
        <v>48</v>
      </c>
      <c r="B56" s="18" t="s">
        <v>51</v>
      </c>
      <c r="C56" s="11">
        <v>30</v>
      </c>
      <c r="D56" s="10" t="s">
        <v>8</v>
      </c>
      <c r="E56" s="11">
        <f t="shared" si="5"/>
        <v>30</v>
      </c>
      <c r="F56" s="12">
        <v>2700</v>
      </c>
      <c r="G56" s="12">
        <f>(F56*E56)</f>
        <v>81000</v>
      </c>
    </row>
    <row r="57" spans="1:8" x14ac:dyDescent="0.3">
      <c r="A57" s="7">
        <v>49</v>
      </c>
      <c r="B57" s="18" t="s">
        <v>52</v>
      </c>
      <c r="C57" s="11">
        <v>20</v>
      </c>
      <c r="D57" s="10" t="s">
        <v>8</v>
      </c>
      <c r="E57" s="11">
        <f t="shared" si="5"/>
        <v>20</v>
      </c>
      <c r="F57" s="12">
        <v>2700</v>
      </c>
      <c r="G57" s="12">
        <f>(F57*E57)</f>
        <v>54000</v>
      </c>
    </row>
    <row r="58" spans="1:8" x14ac:dyDescent="0.3">
      <c r="A58" s="7">
        <v>50</v>
      </c>
      <c r="B58" s="18" t="s">
        <v>53</v>
      </c>
      <c r="C58" s="11">
        <v>100</v>
      </c>
      <c r="D58" s="10" t="s">
        <v>8</v>
      </c>
      <c r="E58" s="11">
        <f t="shared" si="5"/>
        <v>100</v>
      </c>
      <c r="F58" s="12">
        <v>2700</v>
      </c>
      <c r="G58" s="12">
        <f t="shared" ref="G58:G61" si="6">(F58*E58)</f>
        <v>270000</v>
      </c>
    </row>
    <row r="59" spans="1:8" x14ac:dyDescent="0.3">
      <c r="A59" s="7">
        <v>51</v>
      </c>
      <c r="B59" s="18" t="s">
        <v>54</v>
      </c>
      <c r="C59" s="11">
        <v>30</v>
      </c>
      <c r="D59" s="10" t="s">
        <v>8</v>
      </c>
      <c r="E59" s="11">
        <f t="shared" si="5"/>
        <v>30</v>
      </c>
      <c r="F59" s="12">
        <v>2700</v>
      </c>
      <c r="G59" s="12">
        <f t="shared" si="6"/>
        <v>81000</v>
      </c>
    </row>
    <row r="60" spans="1:8" x14ac:dyDescent="0.3">
      <c r="A60" s="7">
        <v>52</v>
      </c>
      <c r="B60" s="18" t="s">
        <v>102</v>
      </c>
      <c r="C60" s="11">
        <v>100</v>
      </c>
      <c r="D60" s="10" t="s">
        <v>8</v>
      </c>
      <c r="E60" s="11">
        <f t="shared" si="5"/>
        <v>100</v>
      </c>
      <c r="F60" s="12">
        <v>2700</v>
      </c>
      <c r="G60" s="12">
        <f t="shared" si="6"/>
        <v>270000</v>
      </c>
    </row>
    <row r="61" spans="1:8" x14ac:dyDescent="0.3">
      <c r="A61" s="7">
        <v>53</v>
      </c>
      <c r="B61" s="18" t="s">
        <v>103</v>
      </c>
      <c r="C61" s="11">
        <v>10</v>
      </c>
      <c r="D61" s="10" t="s">
        <v>8</v>
      </c>
      <c r="E61" s="11">
        <f t="shared" si="5"/>
        <v>10</v>
      </c>
      <c r="F61" s="12">
        <v>2700</v>
      </c>
      <c r="G61" s="12">
        <f t="shared" si="6"/>
        <v>27000</v>
      </c>
    </row>
    <row r="62" spans="1:8" x14ac:dyDescent="0.3">
      <c r="A62" s="7"/>
      <c r="B62" s="18"/>
      <c r="C62" s="68"/>
      <c r="D62" s="69"/>
      <c r="E62" s="11"/>
      <c r="F62" s="12"/>
      <c r="G62" s="12"/>
    </row>
    <row r="63" spans="1:8" x14ac:dyDescent="0.3">
      <c r="A63" s="7"/>
      <c r="B63" s="18"/>
      <c r="C63" s="104" t="s">
        <v>101</v>
      </c>
      <c r="D63" s="105"/>
      <c r="E63" s="11"/>
      <c r="F63" s="12"/>
      <c r="G63" s="19">
        <f>SUM(G36:G61)</f>
        <v>5886000</v>
      </c>
    </row>
    <row r="64" spans="1:8" s="6" customFormat="1" x14ac:dyDescent="0.3">
      <c r="A64" s="20"/>
      <c r="B64" s="3" t="s">
        <v>55</v>
      </c>
      <c r="C64" s="4" t="s">
        <v>30</v>
      </c>
      <c r="D64" s="3" t="s">
        <v>3</v>
      </c>
      <c r="E64" s="3" t="s">
        <v>4</v>
      </c>
      <c r="F64" s="5" t="s">
        <v>5</v>
      </c>
      <c r="G64" s="5"/>
    </row>
    <row r="65" spans="1:7" x14ac:dyDescent="0.3">
      <c r="A65" s="7">
        <v>54</v>
      </c>
      <c r="B65" s="31" t="s">
        <v>56</v>
      </c>
      <c r="C65" s="32">
        <v>800000</v>
      </c>
      <c r="D65" s="33" t="s">
        <v>57</v>
      </c>
      <c r="E65" s="34">
        <v>296.29629599999998</v>
      </c>
      <c r="F65" s="34">
        <v>2700</v>
      </c>
      <c r="G65" s="35">
        <f>(F65*E65)</f>
        <v>799999.99919999996</v>
      </c>
    </row>
    <row r="66" spans="1:7" x14ac:dyDescent="0.3">
      <c r="A66" s="7">
        <v>55</v>
      </c>
      <c r="B66" s="31" t="s">
        <v>58</v>
      </c>
      <c r="C66" s="32">
        <v>110000</v>
      </c>
      <c r="D66" s="33" t="s">
        <v>59</v>
      </c>
      <c r="E66" s="34">
        <v>40.74074074</v>
      </c>
      <c r="F66" s="34">
        <v>2700</v>
      </c>
      <c r="G66" s="35">
        <f t="shared" ref="G66:G70" si="7">(F66*E66)</f>
        <v>109999.999998</v>
      </c>
    </row>
    <row r="67" spans="1:7" x14ac:dyDescent="0.3">
      <c r="A67" s="7">
        <v>56</v>
      </c>
      <c r="B67" s="31" t="s">
        <v>60</v>
      </c>
      <c r="C67" s="32">
        <v>80000</v>
      </c>
      <c r="D67" s="33" t="s">
        <v>59</v>
      </c>
      <c r="E67" s="34">
        <v>29.629629619999999</v>
      </c>
      <c r="F67" s="34">
        <v>2700</v>
      </c>
      <c r="G67" s="35">
        <f t="shared" si="7"/>
        <v>79999.999973999991</v>
      </c>
    </row>
    <row r="68" spans="1:7" x14ac:dyDescent="0.3">
      <c r="A68" s="7">
        <v>57</v>
      </c>
      <c r="B68" s="31" t="s">
        <v>61</v>
      </c>
      <c r="C68" s="32">
        <v>30000</v>
      </c>
      <c r="D68" s="33" t="s">
        <v>59</v>
      </c>
      <c r="E68" s="34">
        <v>11.111110999999999</v>
      </c>
      <c r="F68" s="34">
        <v>2700</v>
      </c>
      <c r="G68" s="35">
        <f t="shared" si="7"/>
        <v>29999.999699999997</v>
      </c>
    </row>
    <row r="69" spans="1:7" x14ac:dyDescent="0.3">
      <c r="A69" s="7">
        <v>58</v>
      </c>
      <c r="B69" s="31" t="s">
        <v>62</v>
      </c>
      <c r="C69" s="32">
        <v>500000</v>
      </c>
      <c r="D69" s="33" t="s">
        <v>59</v>
      </c>
      <c r="E69" s="34">
        <v>185.18518518510001</v>
      </c>
      <c r="F69" s="34">
        <v>2700</v>
      </c>
      <c r="G69" s="35">
        <f>(E69*F69)</f>
        <v>499999.99999977002</v>
      </c>
    </row>
    <row r="70" spans="1:7" x14ac:dyDescent="0.3">
      <c r="A70" s="7">
        <v>59</v>
      </c>
      <c r="B70" s="31" t="s">
        <v>41</v>
      </c>
      <c r="C70" s="32">
        <v>70000</v>
      </c>
      <c r="D70" s="33" t="s">
        <v>59</v>
      </c>
      <c r="E70" s="34">
        <v>25.925925920000001</v>
      </c>
      <c r="F70" s="34">
        <v>2700</v>
      </c>
      <c r="G70" s="35">
        <f t="shared" si="7"/>
        <v>69999.999984000009</v>
      </c>
    </row>
    <row r="71" spans="1:7" s="39" customFormat="1" x14ac:dyDescent="0.3">
      <c r="A71" s="7"/>
      <c r="B71" s="7"/>
      <c r="C71" s="36"/>
      <c r="D71" s="10"/>
      <c r="E71" s="37"/>
      <c r="F71" s="37"/>
      <c r="G71" s="38"/>
    </row>
    <row r="72" spans="1:7" s="39" customFormat="1" x14ac:dyDescent="0.3">
      <c r="A72" s="7"/>
      <c r="B72" s="7"/>
      <c r="C72" s="36"/>
      <c r="D72" s="10"/>
      <c r="E72" s="40"/>
      <c r="F72" s="37"/>
      <c r="G72" s="41">
        <f>SUM(G65:G71)</f>
        <v>1589999.9988557701</v>
      </c>
    </row>
    <row r="73" spans="1:7" s="39" customFormat="1" x14ac:dyDescent="0.3">
      <c r="A73" s="7"/>
      <c r="B73" s="7"/>
      <c r="C73" s="36"/>
      <c r="D73" s="10"/>
      <c r="F73" s="42"/>
      <c r="G73" s="13"/>
    </row>
    <row r="74" spans="1:7" s="39" customFormat="1" x14ac:dyDescent="0.3">
      <c r="A74" s="7"/>
      <c r="B74" s="7"/>
      <c r="C74" s="36"/>
      <c r="D74" s="101" t="s">
        <v>63</v>
      </c>
      <c r="E74" s="101"/>
      <c r="F74" s="101"/>
      <c r="G74" s="43">
        <f>G15+G34+G63+G72</f>
        <v>12612099.998451227</v>
      </c>
    </row>
    <row r="75" spans="1:7" s="39" customFormat="1" x14ac:dyDescent="0.3">
      <c r="A75" s="7"/>
      <c r="B75" s="7"/>
      <c r="C75" s="36"/>
      <c r="D75" s="10"/>
      <c r="E75" s="42"/>
      <c r="F75" s="13"/>
      <c r="G75" s="13"/>
    </row>
    <row r="76" spans="1:7" s="39" customFormat="1" x14ac:dyDescent="0.3">
      <c r="A76" s="7"/>
      <c r="B76" s="44" t="s">
        <v>64</v>
      </c>
      <c r="C76" s="36"/>
      <c r="D76" s="10"/>
      <c r="E76" s="42"/>
      <c r="F76" s="13"/>
      <c r="G76" s="13"/>
    </row>
    <row r="77" spans="1:7" s="39" customFormat="1" x14ac:dyDescent="0.3">
      <c r="A77" s="7"/>
      <c r="B77" s="7"/>
      <c r="C77" s="36"/>
      <c r="D77" s="10"/>
      <c r="E77" s="42"/>
      <c r="F77" s="13"/>
      <c r="G77" s="13"/>
    </row>
    <row r="78" spans="1:7" x14ac:dyDescent="0.3">
      <c r="A78" s="7"/>
      <c r="B78" s="18" t="s">
        <v>100</v>
      </c>
      <c r="C78" s="45">
        <f>(2575*2780)</f>
        <v>7158500</v>
      </c>
      <c r="D78" s="10" t="s">
        <v>8</v>
      </c>
      <c r="E78" s="27"/>
      <c r="F78" s="46" t="s">
        <v>65</v>
      </c>
      <c r="G78" s="19">
        <f>(G74+C78)</f>
        <v>19770599.998451225</v>
      </c>
    </row>
    <row r="79" spans="1:7" s="39" customFormat="1" x14ac:dyDescent="0.3">
      <c r="A79" s="7"/>
      <c r="B79" s="7"/>
      <c r="C79" s="36"/>
      <c r="D79" s="10"/>
      <c r="E79" s="37"/>
      <c r="F79" s="13"/>
      <c r="G79" s="47"/>
    </row>
    <row r="80" spans="1:7" s="39" customFormat="1" x14ac:dyDescent="0.3">
      <c r="A80" s="7"/>
      <c r="B80" s="7"/>
      <c r="C80" s="48"/>
      <c r="D80" s="7"/>
      <c r="E80" s="37"/>
      <c r="F80" s="13"/>
      <c r="G80" s="47"/>
    </row>
    <row r="81" spans="1:7" x14ac:dyDescent="0.3">
      <c r="A81" s="7"/>
      <c r="B81" s="49" t="s">
        <v>66</v>
      </c>
      <c r="C81" s="50">
        <f>(500*31)</f>
        <v>15500</v>
      </c>
      <c r="D81" s="49" t="s">
        <v>67</v>
      </c>
      <c r="E81" s="50">
        <f>(C81)</f>
        <v>15500</v>
      </c>
      <c r="F81" s="12"/>
      <c r="G81" s="12"/>
    </row>
    <row r="82" spans="1:7" x14ac:dyDescent="0.3">
      <c r="A82" s="7"/>
      <c r="B82" s="49" t="s">
        <v>68</v>
      </c>
      <c r="C82" s="48"/>
      <c r="D82" s="7"/>
      <c r="E82" s="51">
        <f>(E81*2700)</f>
        <v>41850000</v>
      </c>
      <c r="F82" s="12"/>
      <c r="G82" s="12"/>
    </row>
    <row r="83" spans="1:7" x14ac:dyDescent="0.3">
      <c r="A83" s="7"/>
      <c r="B83" s="52" t="s">
        <v>69</v>
      </c>
      <c r="C83" s="53"/>
      <c r="D83" s="49"/>
      <c r="E83" s="42">
        <f>(G78/2700)</f>
        <v>7322.4444438708242</v>
      </c>
      <c r="F83" s="12"/>
      <c r="G83" s="12"/>
    </row>
    <row r="84" spans="1:7" x14ac:dyDescent="0.3">
      <c r="A84" s="7"/>
      <c r="B84" s="52" t="s">
        <v>70</v>
      </c>
      <c r="C84" s="53"/>
      <c r="D84" s="49"/>
      <c r="E84" s="54">
        <f>(G74+C78)</f>
        <v>19770599.998451225</v>
      </c>
      <c r="F84" s="12"/>
      <c r="G84" s="12"/>
    </row>
    <row r="85" spans="1:7" x14ac:dyDescent="0.3">
      <c r="A85" s="7"/>
      <c r="B85" s="52" t="s">
        <v>71</v>
      </c>
      <c r="C85" s="53"/>
      <c r="D85" s="52"/>
      <c r="E85" s="55">
        <f>(E86/2700)</f>
        <v>8177.5555561291758</v>
      </c>
      <c r="F85" s="12"/>
      <c r="G85" s="12"/>
    </row>
    <row r="86" spans="1:7" x14ac:dyDescent="0.3">
      <c r="A86" s="7"/>
      <c r="B86" s="52" t="s">
        <v>72</v>
      </c>
      <c r="C86" s="56"/>
      <c r="D86" s="18"/>
      <c r="E86" s="41">
        <f>(E82-E84)</f>
        <v>22079400.001548775</v>
      </c>
      <c r="F86" s="12"/>
      <c r="G86" s="13"/>
    </row>
    <row r="87" spans="1:7" x14ac:dyDescent="0.3">
      <c r="A87" s="7"/>
      <c r="B87" s="18"/>
      <c r="C87" s="56"/>
      <c r="D87" s="18"/>
      <c r="E87" s="18"/>
      <c r="F87" s="12"/>
      <c r="G87" s="12"/>
    </row>
    <row r="88" spans="1:7" s="59" customFormat="1" x14ac:dyDescent="0.3">
      <c r="A88" s="57"/>
      <c r="B88" s="58" t="s">
        <v>73</v>
      </c>
      <c r="C88" s="102" t="s">
        <v>74</v>
      </c>
      <c r="D88" s="102"/>
      <c r="E88" s="103" t="s">
        <v>75</v>
      </c>
      <c r="F88" s="103"/>
      <c r="G88" s="58" t="s">
        <v>76</v>
      </c>
    </row>
    <row r="89" spans="1:7" x14ac:dyDescent="0.3">
      <c r="A89" s="7"/>
      <c r="B89" s="94" t="s">
        <v>77</v>
      </c>
      <c r="C89" s="95" t="s">
        <v>78</v>
      </c>
      <c r="D89" s="95"/>
      <c r="E89" s="95"/>
      <c r="F89" s="95"/>
      <c r="G89" s="96"/>
    </row>
    <row r="90" spans="1:7" ht="33.6" customHeight="1" x14ac:dyDescent="0.3">
      <c r="A90" s="7"/>
      <c r="B90" s="94"/>
      <c r="C90" s="95"/>
      <c r="D90" s="95"/>
      <c r="E90" s="95"/>
      <c r="F90" s="95"/>
      <c r="G90" s="96"/>
    </row>
    <row r="91" spans="1:7" x14ac:dyDescent="0.3">
      <c r="A91" s="7"/>
      <c r="B91" s="60" t="s">
        <v>79</v>
      </c>
      <c r="C91" s="106" t="s">
        <v>80</v>
      </c>
      <c r="D91" s="107"/>
      <c r="E91" s="106" t="s">
        <v>81</v>
      </c>
      <c r="F91" s="107"/>
      <c r="G91" s="61" t="s">
        <v>82</v>
      </c>
    </row>
    <row r="92" spans="1:7" ht="51" customHeight="1" x14ac:dyDescent="0.3">
      <c r="A92" s="7"/>
      <c r="B92" s="65" t="s">
        <v>83</v>
      </c>
      <c r="C92" s="108" t="s">
        <v>84</v>
      </c>
      <c r="D92" s="109"/>
      <c r="E92" s="110"/>
      <c r="F92" s="111"/>
      <c r="G92" s="12"/>
    </row>
    <row r="93" spans="1:7" s="59" customFormat="1" x14ac:dyDescent="0.3">
      <c r="A93" s="57"/>
      <c r="B93" s="58" t="s">
        <v>85</v>
      </c>
      <c r="C93" s="102" t="s">
        <v>74</v>
      </c>
      <c r="D93" s="102"/>
      <c r="E93" s="103" t="s">
        <v>75</v>
      </c>
      <c r="F93" s="103"/>
      <c r="G93" s="58" t="s">
        <v>76</v>
      </c>
    </row>
    <row r="94" spans="1:7" x14ac:dyDescent="0.3">
      <c r="A94" s="7"/>
      <c r="B94" s="94" t="s">
        <v>86</v>
      </c>
      <c r="C94" s="95" t="s">
        <v>87</v>
      </c>
      <c r="D94" s="95"/>
      <c r="E94" s="94"/>
      <c r="F94" s="94"/>
      <c r="G94" s="96"/>
    </row>
    <row r="95" spans="1:7" ht="42" customHeight="1" x14ac:dyDescent="0.3">
      <c r="A95" s="7"/>
      <c r="B95" s="94"/>
      <c r="C95" s="95"/>
      <c r="D95" s="95"/>
      <c r="E95" s="94"/>
      <c r="F95" s="94"/>
      <c r="G95" s="96"/>
    </row>
  </sheetData>
  <mergeCells count="20">
    <mergeCell ref="G89:G90"/>
    <mergeCell ref="C91:D91"/>
    <mergeCell ref="E91:F91"/>
    <mergeCell ref="A1:G1"/>
    <mergeCell ref="C2:E2"/>
    <mergeCell ref="C63:D63"/>
    <mergeCell ref="D74:F74"/>
    <mergeCell ref="C88:D88"/>
    <mergeCell ref="E88:F88"/>
    <mergeCell ref="B94:B95"/>
    <mergeCell ref="C94:D95"/>
    <mergeCell ref="E94:F95"/>
    <mergeCell ref="B89:B90"/>
    <mergeCell ref="C89:D90"/>
    <mergeCell ref="E89:F90"/>
    <mergeCell ref="G94:G95"/>
    <mergeCell ref="C92:D92"/>
    <mergeCell ref="E92:F92"/>
    <mergeCell ref="C93:D93"/>
    <mergeCell ref="E93:F93"/>
  </mergeCells>
  <pageMargins left="0.7" right="0.7" top="0.75" bottom="0.75" header="0.3" footer="0.3"/>
  <pageSetup paperSize="9" scale="47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28" workbookViewId="0">
      <selection activeCell="C45" sqref="C45"/>
    </sheetView>
  </sheetViews>
  <sheetFormatPr defaultColWidth="14.44140625" defaultRowHeight="13.8" x14ac:dyDescent="0.3"/>
  <cols>
    <col min="1" max="1" width="5" style="39" bestFit="1" customWidth="1"/>
    <col min="2" max="2" width="39.6640625" style="1" customWidth="1"/>
    <col min="3" max="3" width="19.109375" style="63" customWidth="1"/>
    <col min="4" max="4" width="19.88671875" style="1" customWidth="1"/>
    <col min="5" max="5" width="16.44140625" style="1" bestFit="1" customWidth="1"/>
    <col min="6" max="6" width="19.21875" style="64" customWidth="1"/>
    <col min="7" max="7" width="24.33203125" style="64" customWidth="1"/>
    <col min="8" max="8" width="26.44140625" style="16" customWidth="1"/>
    <col min="9" max="9" width="20.33203125" style="16" customWidth="1"/>
    <col min="10" max="18" width="30.88671875" style="1" customWidth="1"/>
    <col min="19" max="16384" width="14.44140625" style="1"/>
  </cols>
  <sheetData>
    <row r="1" spans="1:9" ht="29.4" customHeight="1" x14ac:dyDescent="0.3">
      <c r="A1" s="97" t="s">
        <v>106</v>
      </c>
      <c r="B1" s="97"/>
      <c r="C1" s="97"/>
      <c r="D1" s="97"/>
      <c r="E1" s="97"/>
      <c r="F1" s="97"/>
      <c r="G1" s="97"/>
    </row>
    <row r="2" spans="1:9" ht="28.8" customHeight="1" x14ac:dyDescent="0.3">
      <c r="A2" s="71"/>
      <c r="B2" s="71"/>
      <c r="C2" s="98" t="s">
        <v>112</v>
      </c>
      <c r="D2" s="99"/>
      <c r="E2" s="100"/>
      <c r="F2" s="71"/>
      <c r="G2" s="71"/>
      <c r="H2" s="73" t="s">
        <v>113</v>
      </c>
      <c r="I2" s="73" t="s">
        <v>114</v>
      </c>
    </row>
    <row r="3" spans="1:9" s="6" customFormat="1" x14ac:dyDescent="0.3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5" t="s">
        <v>5</v>
      </c>
      <c r="G3" s="5" t="s">
        <v>6</v>
      </c>
      <c r="H3" s="72"/>
      <c r="I3" s="72"/>
    </row>
    <row r="4" spans="1:9" x14ac:dyDescent="0.3">
      <c r="A4" s="7">
        <v>1</v>
      </c>
      <c r="B4" s="8" t="s">
        <v>7</v>
      </c>
      <c r="C4" s="9">
        <v>2000000</v>
      </c>
      <c r="D4" s="10" t="s">
        <v>8</v>
      </c>
      <c r="E4" s="11">
        <v>740.74074074073997</v>
      </c>
      <c r="F4" s="12">
        <v>2700</v>
      </c>
      <c r="G4" s="74">
        <f>(F4*E4)</f>
        <v>1999999.9999999979</v>
      </c>
      <c r="H4" s="85">
        <v>707500</v>
      </c>
    </row>
    <row r="5" spans="1:9" x14ac:dyDescent="0.3">
      <c r="A5" s="7">
        <v>2</v>
      </c>
      <c r="B5" s="8" t="s">
        <v>9</v>
      </c>
      <c r="C5" s="9">
        <v>15000</v>
      </c>
      <c r="D5" s="10" t="s">
        <v>8</v>
      </c>
      <c r="E5" s="11">
        <v>5.5555555549999998</v>
      </c>
      <c r="F5" s="12">
        <v>2700</v>
      </c>
      <c r="G5" s="74">
        <f>(F5*E5)</f>
        <v>14999.999998499999</v>
      </c>
      <c r="H5" s="85">
        <v>15000</v>
      </c>
    </row>
    <row r="6" spans="1:9" x14ac:dyDescent="0.3">
      <c r="A6" s="7">
        <v>3</v>
      </c>
      <c r="B6" s="8" t="s">
        <v>10</v>
      </c>
      <c r="C6" s="9">
        <v>30000</v>
      </c>
      <c r="D6" s="10" t="s">
        <v>8</v>
      </c>
      <c r="E6" s="11">
        <v>11.1111111</v>
      </c>
      <c r="F6" s="12">
        <v>2700</v>
      </c>
      <c r="G6" s="74">
        <f>(F6*E6)</f>
        <v>29999.999970000001</v>
      </c>
      <c r="H6" s="85"/>
    </row>
    <row r="7" spans="1:9" x14ac:dyDescent="0.3">
      <c r="A7" s="7">
        <v>4</v>
      </c>
      <c r="B7" s="8" t="s">
        <v>95</v>
      </c>
      <c r="C7" s="9">
        <v>60000</v>
      </c>
      <c r="D7" s="10" t="s">
        <v>8</v>
      </c>
      <c r="E7" s="11">
        <v>22.222222200000001</v>
      </c>
      <c r="F7" s="12">
        <v>2700</v>
      </c>
      <c r="G7" s="74">
        <f>E7*F7</f>
        <v>59999.999940000002</v>
      </c>
      <c r="H7" s="85"/>
    </row>
    <row r="8" spans="1:9" x14ac:dyDescent="0.3">
      <c r="A8" s="7">
        <v>5</v>
      </c>
      <c r="B8" s="8" t="s">
        <v>11</v>
      </c>
      <c r="C8" s="9">
        <v>40000</v>
      </c>
      <c r="D8" s="10" t="s">
        <v>8</v>
      </c>
      <c r="E8" s="11">
        <v>14.8148148148</v>
      </c>
      <c r="F8" s="12">
        <v>2700</v>
      </c>
      <c r="G8" s="74">
        <f t="shared" ref="G8:G13" si="0">(F8*E8)</f>
        <v>39999.999999959997</v>
      </c>
      <c r="H8" s="85">
        <v>40000</v>
      </c>
    </row>
    <row r="9" spans="1:9" x14ac:dyDescent="0.3">
      <c r="A9" s="7">
        <v>6</v>
      </c>
      <c r="B9" s="8" t="s">
        <v>12</v>
      </c>
      <c r="C9" s="9">
        <v>77500</v>
      </c>
      <c r="D9" s="10" t="s">
        <v>8</v>
      </c>
      <c r="E9" s="11">
        <v>28.703703699999998</v>
      </c>
      <c r="F9" s="13">
        <v>2700</v>
      </c>
      <c r="G9" s="74">
        <f>(F9*E9)</f>
        <v>77499.999989999997</v>
      </c>
      <c r="H9" s="85"/>
    </row>
    <row r="10" spans="1:9" x14ac:dyDescent="0.3">
      <c r="A10" s="7">
        <v>7</v>
      </c>
      <c r="B10" s="8" t="s">
        <v>98</v>
      </c>
      <c r="C10" s="9">
        <v>30000</v>
      </c>
      <c r="D10" s="10" t="s">
        <v>99</v>
      </c>
      <c r="E10" s="11">
        <v>11.111110999999999</v>
      </c>
      <c r="F10" s="13">
        <v>2700</v>
      </c>
      <c r="G10" s="74">
        <f>(F10*E10)</f>
        <v>29999.999699999997</v>
      </c>
      <c r="H10" s="85"/>
    </row>
    <row r="11" spans="1:9" x14ac:dyDescent="0.3">
      <c r="A11" s="7">
        <v>8</v>
      </c>
      <c r="B11" s="8" t="s">
        <v>13</v>
      </c>
      <c r="C11" s="9">
        <v>30000</v>
      </c>
      <c r="D11" s="10" t="s">
        <v>14</v>
      </c>
      <c r="E11" s="11">
        <v>11.11111111</v>
      </c>
      <c r="F11" s="12">
        <v>2700</v>
      </c>
      <c r="G11" s="74">
        <f t="shared" si="0"/>
        <v>29999.999996999999</v>
      </c>
      <c r="H11" s="85"/>
    </row>
    <row r="12" spans="1:9" x14ac:dyDescent="0.3">
      <c r="A12" s="7">
        <v>9</v>
      </c>
      <c r="B12" s="8" t="s">
        <v>15</v>
      </c>
      <c r="C12" s="14">
        <v>5</v>
      </c>
      <c r="D12" s="10" t="s">
        <v>16</v>
      </c>
      <c r="E12" s="11">
        <v>3.7037037037037002</v>
      </c>
      <c r="F12" s="12">
        <v>2700</v>
      </c>
      <c r="G12" s="86">
        <f t="shared" si="0"/>
        <v>9999.9999999999909</v>
      </c>
      <c r="H12" s="85">
        <v>10000</v>
      </c>
    </row>
    <row r="13" spans="1:9" x14ac:dyDescent="0.3">
      <c r="A13" s="7">
        <v>10</v>
      </c>
      <c r="B13" s="8" t="s">
        <v>17</v>
      </c>
      <c r="C13" s="14">
        <v>12</v>
      </c>
      <c r="D13" s="10" t="s">
        <v>8</v>
      </c>
      <c r="E13" s="11">
        <v>12</v>
      </c>
      <c r="F13" s="12">
        <v>2700</v>
      </c>
      <c r="G13" s="86">
        <f t="shared" si="0"/>
        <v>32400</v>
      </c>
      <c r="H13" s="77"/>
      <c r="I13" s="93">
        <v>32400</v>
      </c>
    </row>
    <row r="14" spans="1:9" ht="14.4" x14ac:dyDescent="0.3">
      <c r="A14" s="7"/>
      <c r="B14" s="8"/>
      <c r="C14" s="14"/>
      <c r="D14" s="10"/>
      <c r="E14" s="11"/>
      <c r="F14" s="12"/>
      <c r="G14" s="87"/>
      <c r="H14" s="77"/>
    </row>
    <row r="15" spans="1:9" ht="14.4" x14ac:dyDescent="0.3">
      <c r="A15" s="7"/>
      <c r="B15" s="8"/>
      <c r="C15" s="17"/>
      <c r="D15" s="10"/>
      <c r="E15" s="18"/>
      <c r="F15" s="12"/>
      <c r="G15" s="75">
        <f>SUM(G4:G14)</f>
        <v>2324899.9995954582</v>
      </c>
      <c r="H15" s="77"/>
    </row>
    <row r="16" spans="1:9" s="6" customFormat="1" x14ac:dyDescent="0.3">
      <c r="A16" s="20"/>
      <c r="B16" s="3" t="s">
        <v>18</v>
      </c>
      <c r="C16" s="4" t="s">
        <v>2</v>
      </c>
      <c r="D16" s="3" t="s">
        <v>3</v>
      </c>
      <c r="E16" s="3" t="s">
        <v>4</v>
      </c>
      <c r="F16" s="5" t="s">
        <v>5</v>
      </c>
      <c r="G16" s="76"/>
      <c r="H16" s="89"/>
      <c r="I16" s="72"/>
    </row>
    <row r="17" spans="1:9" x14ac:dyDescent="0.3">
      <c r="A17" s="7">
        <v>11</v>
      </c>
      <c r="B17" s="8" t="s">
        <v>19</v>
      </c>
      <c r="C17" s="21">
        <v>356</v>
      </c>
      <c r="D17" s="10" t="s">
        <v>8</v>
      </c>
      <c r="E17" s="22">
        <f>(C17)</f>
        <v>356</v>
      </c>
      <c r="F17" s="12">
        <v>2700</v>
      </c>
      <c r="G17" s="74">
        <f>(F17*E17)</f>
        <v>961200</v>
      </c>
      <c r="H17" s="77"/>
      <c r="I17" s="85">
        <v>961200</v>
      </c>
    </row>
    <row r="18" spans="1:9" x14ac:dyDescent="0.3">
      <c r="A18" s="7">
        <v>12</v>
      </c>
      <c r="B18" s="8" t="s">
        <v>20</v>
      </c>
      <c r="C18" s="23">
        <v>250</v>
      </c>
      <c r="D18" s="10" t="s">
        <v>8</v>
      </c>
      <c r="E18" s="22">
        <f t="shared" ref="E18" si="1">(C18*0.0375)</f>
        <v>9.375</v>
      </c>
      <c r="F18" s="12">
        <v>130</v>
      </c>
      <c r="G18" s="74">
        <f>(C18*F18)</f>
        <v>32500</v>
      </c>
      <c r="H18" s="85">
        <v>32500</v>
      </c>
      <c r="I18" s="77"/>
    </row>
    <row r="19" spans="1:9" x14ac:dyDescent="0.3">
      <c r="A19" s="7">
        <v>13</v>
      </c>
      <c r="B19" s="8" t="s">
        <v>88</v>
      </c>
      <c r="C19" s="24">
        <v>600</v>
      </c>
      <c r="D19" s="10" t="s">
        <v>8</v>
      </c>
      <c r="E19" s="22">
        <f>(C19*0.0375)</f>
        <v>22.5</v>
      </c>
      <c r="F19" s="12">
        <v>130</v>
      </c>
      <c r="G19" s="74">
        <f t="shared" ref="G19:G32" si="2">(C19*F19)</f>
        <v>78000</v>
      </c>
      <c r="H19" s="91">
        <v>78000</v>
      </c>
      <c r="I19" s="77"/>
    </row>
    <row r="20" spans="1:9" x14ac:dyDescent="0.3">
      <c r="A20" s="7">
        <v>14</v>
      </c>
      <c r="B20" s="8" t="s">
        <v>21</v>
      </c>
      <c r="C20" s="24">
        <v>600</v>
      </c>
      <c r="D20" s="10" t="s">
        <v>8</v>
      </c>
      <c r="E20" s="22">
        <f t="shared" ref="E20:E30" si="3">(C20*0.0375)</f>
        <v>22.5</v>
      </c>
      <c r="F20" s="12">
        <v>130</v>
      </c>
      <c r="G20" s="74">
        <f t="shared" si="2"/>
        <v>78000</v>
      </c>
      <c r="H20" s="91">
        <v>78000</v>
      </c>
      <c r="I20" s="77"/>
    </row>
    <row r="21" spans="1:9" x14ac:dyDescent="0.3">
      <c r="A21" s="7">
        <v>15</v>
      </c>
      <c r="B21" s="8" t="s">
        <v>89</v>
      </c>
      <c r="C21" s="24">
        <v>600</v>
      </c>
      <c r="D21" s="10" t="s">
        <v>8</v>
      </c>
      <c r="E21" s="22">
        <f t="shared" si="3"/>
        <v>22.5</v>
      </c>
      <c r="F21" s="12">
        <v>130</v>
      </c>
      <c r="G21" s="74">
        <f t="shared" si="2"/>
        <v>78000</v>
      </c>
      <c r="H21" s="85">
        <v>78000</v>
      </c>
      <c r="I21" s="77"/>
    </row>
    <row r="22" spans="1:9" x14ac:dyDescent="0.3">
      <c r="A22" s="7">
        <v>16</v>
      </c>
      <c r="B22" s="8" t="s">
        <v>90</v>
      </c>
      <c r="C22" s="24">
        <v>600</v>
      </c>
      <c r="D22" s="10" t="s">
        <v>8</v>
      </c>
      <c r="E22" s="22">
        <f t="shared" si="3"/>
        <v>22.5</v>
      </c>
      <c r="F22" s="12">
        <v>130</v>
      </c>
      <c r="G22" s="74">
        <f t="shared" si="2"/>
        <v>78000</v>
      </c>
      <c r="H22" s="84">
        <v>78000</v>
      </c>
      <c r="I22" s="77"/>
    </row>
    <row r="23" spans="1:9" x14ac:dyDescent="0.3">
      <c r="A23" s="7">
        <v>17</v>
      </c>
      <c r="B23" s="8" t="s">
        <v>91</v>
      </c>
      <c r="C23" s="24">
        <v>600</v>
      </c>
      <c r="D23" s="10" t="s">
        <v>8</v>
      </c>
      <c r="E23" s="22">
        <f t="shared" si="3"/>
        <v>22.5</v>
      </c>
      <c r="F23" s="12">
        <v>130</v>
      </c>
      <c r="G23" s="74">
        <f t="shared" si="2"/>
        <v>78000</v>
      </c>
      <c r="H23" s="84">
        <v>78000</v>
      </c>
      <c r="I23" s="77"/>
    </row>
    <row r="24" spans="1:9" x14ac:dyDescent="0.3">
      <c r="A24" s="7">
        <v>18</v>
      </c>
      <c r="B24" s="8" t="s">
        <v>93</v>
      </c>
      <c r="C24" s="24">
        <v>690</v>
      </c>
      <c r="D24" s="10" t="s">
        <v>8</v>
      </c>
      <c r="E24" s="22">
        <f t="shared" si="3"/>
        <v>25.875</v>
      </c>
      <c r="F24" s="12">
        <v>130</v>
      </c>
      <c r="G24" s="74">
        <f t="shared" si="2"/>
        <v>89700</v>
      </c>
      <c r="H24" s="84">
        <v>78000</v>
      </c>
      <c r="I24" s="77"/>
    </row>
    <row r="25" spans="1:9" x14ac:dyDescent="0.3">
      <c r="A25" s="7">
        <v>19</v>
      </c>
      <c r="B25" s="8" t="s">
        <v>92</v>
      </c>
      <c r="C25" s="24">
        <v>600</v>
      </c>
      <c r="D25" s="10" t="s">
        <v>8</v>
      </c>
      <c r="E25" s="22">
        <f t="shared" si="3"/>
        <v>22.5</v>
      </c>
      <c r="F25" s="12">
        <v>130</v>
      </c>
      <c r="G25" s="74">
        <f t="shared" si="2"/>
        <v>78000</v>
      </c>
      <c r="H25" s="84">
        <v>78000</v>
      </c>
      <c r="I25" s="77"/>
    </row>
    <row r="26" spans="1:9" x14ac:dyDescent="0.3">
      <c r="A26" s="7">
        <v>20</v>
      </c>
      <c r="B26" s="8" t="s">
        <v>23</v>
      </c>
      <c r="C26" s="24">
        <v>3100</v>
      </c>
      <c r="D26" s="10" t="s">
        <v>8</v>
      </c>
      <c r="E26" s="22">
        <f t="shared" si="3"/>
        <v>116.25</v>
      </c>
      <c r="F26" s="12">
        <v>130</v>
      </c>
      <c r="G26" s="74">
        <f t="shared" si="2"/>
        <v>403000</v>
      </c>
      <c r="H26" s="85">
        <v>403000</v>
      </c>
      <c r="I26" s="77"/>
    </row>
    <row r="27" spans="1:9" x14ac:dyDescent="0.3">
      <c r="A27" s="7">
        <v>21</v>
      </c>
      <c r="B27" s="8" t="s">
        <v>22</v>
      </c>
      <c r="C27" s="24">
        <v>200</v>
      </c>
      <c r="D27" s="10" t="s">
        <v>8</v>
      </c>
      <c r="E27" s="22">
        <f t="shared" si="3"/>
        <v>7.5</v>
      </c>
      <c r="F27" s="12">
        <v>120</v>
      </c>
      <c r="G27" s="74">
        <f t="shared" si="2"/>
        <v>24000</v>
      </c>
      <c r="H27" s="85">
        <v>24000</v>
      </c>
      <c r="I27" s="77"/>
    </row>
    <row r="28" spans="1:9" x14ac:dyDescent="0.3">
      <c r="A28" s="7">
        <v>22</v>
      </c>
      <c r="B28" s="8" t="s">
        <v>24</v>
      </c>
      <c r="C28" s="25">
        <v>100</v>
      </c>
      <c r="D28" s="10" t="s">
        <v>8</v>
      </c>
      <c r="E28" s="22">
        <f t="shared" si="3"/>
        <v>3.75</v>
      </c>
      <c r="F28" s="12">
        <v>130</v>
      </c>
      <c r="G28" s="74">
        <f t="shared" si="2"/>
        <v>13000</v>
      </c>
      <c r="H28" s="85">
        <v>13000</v>
      </c>
      <c r="I28" s="77"/>
    </row>
    <row r="29" spans="1:9" x14ac:dyDescent="0.3">
      <c r="A29" s="7">
        <v>23</v>
      </c>
      <c r="B29" s="8" t="s">
        <v>25</v>
      </c>
      <c r="C29" s="26">
        <v>200</v>
      </c>
      <c r="D29" s="10" t="s">
        <v>8</v>
      </c>
      <c r="E29" s="22">
        <v>200</v>
      </c>
      <c r="F29" s="12">
        <v>2700</v>
      </c>
      <c r="G29" s="74">
        <f t="shared" si="2"/>
        <v>540000</v>
      </c>
      <c r="H29" s="85">
        <v>540000</v>
      </c>
      <c r="I29" s="77"/>
    </row>
    <row r="30" spans="1:9" x14ac:dyDescent="0.3">
      <c r="A30" s="7">
        <v>24</v>
      </c>
      <c r="B30" s="8" t="s">
        <v>26</v>
      </c>
      <c r="C30" s="25">
        <v>50</v>
      </c>
      <c r="D30" s="10" t="s">
        <v>8</v>
      </c>
      <c r="E30" s="22">
        <f t="shared" si="3"/>
        <v>1.875</v>
      </c>
      <c r="F30" s="12">
        <v>130</v>
      </c>
      <c r="G30" s="74">
        <f t="shared" si="2"/>
        <v>6500</v>
      </c>
      <c r="H30" s="85">
        <v>6500</v>
      </c>
      <c r="I30" s="77"/>
    </row>
    <row r="31" spans="1:9" x14ac:dyDescent="0.3">
      <c r="A31" s="7">
        <v>25</v>
      </c>
      <c r="B31" s="8" t="s">
        <v>27</v>
      </c>
      <c r="C31" s="25">
        <v>1080</v>
      </c>
      <c r="D31" s="10" t="s">
        <v>8</v>
      </c>
      <c r="E31" s="22">
        <v>48</v>
      </c>
      <c r="F31" s="12">
        <v>130</v>
      </c>
      <c r="G31" s="74">
        <f t="shared" si="2"/>
        <v>140400</v>
      </c>
      <c r="H31" s="85">
        <v>140400</v>
      </c>
      <c r="I31" s="77"/>
    </row>
    <row r="32" spans="1:9" x14ac:dyDescent="0.3">
      <c r="A32" s="7">
        <v>26</v>
      </c>
      <c r="B32" s="8" t="s">
        <v>28</v>
      </c>
      <c r="C32" s="25">
        <v>1030</v>
      </c>
      <c r="D32" s="10" t="s">
        <v>8</v>
      </c>
      <c r="E32" s="22">
        <v>45</v>
      </c>
      <c r="F32" s="12">
        <v>130</v>
      </c>
      <c r="G32" s="74">
        <f t="shared" si="2"/>
        <v>133900</v>
      </c>
      <c r="H32" s="85">
        <v>133900</v>
      </c>
      <c r="I32" s="77"/>
    </row>
    <row r="33" spans="1:9" x14ac:dyDescent="0.3">
      <c r="A33" s="7"/>
      <c r="B33" s="8"/>
      <c r="C33" s="25"/>
      <c r="D33" s="10"/>
      <c r="E33" s="27"/>
      <c r="F33" s="12"/>
      <c r="G33" s="88"/>
      <c r="H33" s="77"/>
      <c r="I33" s="77"/>
    </row>
    <row r="34" spans="1:9" x14ac:dyDescent="0.3">
      <c r="A34" s="7"/>
      <c r="B34" s="8"/>
      <c r="C34" s="17"/>
      <c r="D34" s="10"/>
      <c r="E34" s="18"/>
      <c r="F34" s="12"/>
      <c r="G34" s="75">
        <f>SUM(G17:G33)</f>
        <v>2812200</v>
      </c>
      <c r="H34" s="77"/>
      <c r="I34" s="77"/>
    </row>
    <row r="35" spans="1:9" s="6" customFormat="1" x14ac:dyDescent="0.3">
      <c r="A35" s="20"/>
      <c r="B35" s="3" t="s">
        <v>29</v>
      </c>
      <c r="C35" s="4" t="s">
        <v>30</v>
      </c>
      <c r="D35" s="3" t="s">
        <v>3</v>
      </c>
      <c r="E35" s="3" t="s">
        <v>4</v>
      </c>
      <c r="F35" s="5" t="s">
        <v>5</v>
      </c>
      <c r="G35" s="76"/>
      <c r="H35" s="77"/>
      <c r="I35" s="89"/>
    </row>
    <row r="36" spans="1:9" x14ac:dyDescent="0.3">
      <c r="A36" s="7">
        <v>27</v>
      </c>
      <c r="B36" s="8" t="s">
        <v>31</v>
      </c>
      <c r="C36" s="29">
        <v>300</v>
      </c>
      <c r="D36" s="10" t="s">
        <v>8</v>
      </c>
      <c r="E36" s="11">
        <f>(C36)</f>
        <v>300</v>
      </c>
      <c r="F36" s="12">
        <v>2700</v>
      </c>
      <c r="G36" s="74">
        <f>(F36*E36)</f>
        <v>810000</v>
      </c>
      <c r="H36" s="85">
        <v>810000</v>
      </c>
      <c r="I36" s="77"/>
    </row>
    <row r="37" spans="1:9" x14ac:dyDescent="0.3">
      <c r="A37" s="7">
        <v>28</v>
      </c>
      <c r="B37" s="8" t="s">
        <v>32</v>
      </c>
      <c r="C37" s="29">
        <v>200</v>
      </c>
      <c r="D37" s="10" t="s">
        <v>8</v>
      </c>
      <c r="E37" s="11">
        <v>200</v>
      </c>
      <c r="F37" s="12">
        <v>2700</v>
      </c>
      <c r="G37" s="74">
        <f t="shared" ref="G37:G55" si="4">(F37*E37)</f>
        <v>540000</v>
      </c>
      <c r="H37" s="85"/>
      <c r="I37" s="85">
        <v>540000</v>
      </c>
    </row>
    <row r="38" spans="1:9" x14ac:dyDescent="0.3">
      <c r="A38" s="7">
        <v>29</v>
      </c>
      <c r="B38" s="8" t="s">
        <v>33</v>
      </c>
      <c r="C38" s="29">
        <v>25</v>
      </c>
      <c r="D38" s="10" t="s">
        <v>8</v>
      </c>
      <c r="E38" s="11">
        <f t="shared" ref="E38:E61" si="5">(C38)</f>
        <v>25</v>
      </c>
      <c r="F38" s="12">
        <v>2700</v>
      </c>
      <c r="G38" s="74">
        <f t="shared" si="4"/>
        <v>67500</v>
      </c>
      <c r="H38" s="85"/>
      <c r="I38" s="85">
        <v>67500</v>
      </c>
    </row>
    <row r="39" spans="1:9" x14ac:dyDescent="0.3">
      <c r="A39" s="7">
        <v>31</v>
      </c>
      <c r="B39" s="8" t="s">
        <v>35</v>
      </c>
      <c r="C39" s="29">
        <v>100</v>
      </c>
      <c r="D39" s="10" t="s">
        <v>8</v>
      </c>
      <c r="E39" s="11">
        <v>100</v>
      </c>
      <c r="F39" s="12">
        <v>2700</v>
      </c>
      <c r="G39" s="74">
        <f>(F39*E39)</f>
        <v>270000</v>
      </c>
      <c r="H39" s="85"/>
      <c r="I39" s="85">
        <v>270000</v>
      </c>
    </row>
    <row r="40" spans="1:9" x14ac:dyDescent="0.3">
      <c r="A40" s="7">
        <v>32</v>
      </c>
      <c r="B40" s="8" t="s">
        <v>36</v>
      </c>
      <c r="C40" s="29">
        <v>40</v>
      </c>
      <c r="D40" s="10" t="s">
        <v>8</v>
      </c>
      <c r="E40" s="11">
        <f t="shared" si="5"/>
        <v>40</v>
      </c>
      <c r="F40" s="12">
        <v>2700</v>
      </c>
      <c r="G40" s="74">
        <f t="shared" si="4"/>
        <v>108000</v>
      </c>
      <c r="H40" s="85"/>
      <c r="I40" s="85">
        <v>108000</v>
      </c>
    </row>
    <row r="41" spans="1:9" x14ac:dyDescent="0.3">
      <c r="A41" s="7">
        <v>33</v>
      </c>
      <c r="B41" s="8" t="s">
        <v>37</v>
      </c>
      <c r="C41" s="29">
        <v>50</v>
      </c>
      <c r="D41" s="10" t="s">
        <v>8</v>
      </c>
      <c r="E41" s="11">
        <f t="shared" si="5"/>
        <v>50</v>
      </c>
      <c r="F41" s="12">
        <v>2700</v>
      </c>
      <c r="G41" s="74">
        <f t="shared" si="4"/>
        <v>135000</v>
      </c>
      <c r="H41" s="85"/>
      <c r="I41" s="85">
        <v>135000</v>
      </c>
    </row>
    <row r="42" spans="1:9" x14ac:dyDescent="0.3">
      <c r="A42" s="7">
        <v>34</v>
      </c>
      <c r="B42" s="8" t="s">
        <v>38</v>
      </c>
      <c r="C42" s="29">
        <v>150</v>
      </c>
      <c r="D42" s="10" t="s">
        <v>8</v>
      </c>
      <c r="E42" s="11">
        <f t="shared" si="5"/>
        <v>150</v>
      </c>
      <c r="F42" s="12">
        <v>2700</v>
      </c>
      <c r="G42" s="74">
        <f t="shared" si="4"/>
        <v>405000</v>
      </c>
      <c r="H42" s="85"/>
      <c r="I42" s="85">
        <v>405000</v>
      </c>
    </row>
    <row r="43" spans="1:9" x14ac:dyDescent="0.3">
      <c r="A43" s="7">
        <v>35</v>
      </c>
      <c r="B43" s="8" t="s">
        <v>39</v>
      </c>
      <c r="C43" s="29">
        <v>10</v>
      </c>
      <c r="D43" s="10" t="s">
        <v>8</v>
      </c>
      <c r="E43" s="11">
        <f t="shared" si="5"/>
        <v>10</v>
      </c>
      <c r="F43" s="12">
        <v>2700</v>
      </c>
      <c r="G43" s="74">
        <f t="shared" si="4"/>
        <v>27000</v>
      </c>
      <c r="H43" s="85"/>
      <c r="I43" s="85">
        <v>27000</v>
      </c>
    </row>
    <row r="44" spans="1:9" x14ac:dyDescent="0.3">
      <c r="A44" s="7">
        <v>36</v>
      </c>
      <c r="B44" s="8" t="s">
        <v>94</v>
      </c>
      <c r="C44" s="29">
        <v>40</v>
      </c>
      <c r="D44" s="10" t="s">
        <v>8</v>
      </c>
      <c r="E44" s="11">
        <f t="shared" si="5"/>
        <v>40</v>
      </c>
      <c r="F44" s="12">
        <v>2700</v>
      </c>
      <c r="G44" s="74">
        <f t="shared" si="4"/>
        <v>108000</v>
      </c>
      <c r="H44" s="85"/>
      <c r="I44" s="85">
        <v>108000</v>
      </c>
    </row>
    <row r="45" spans="1:9" x14ac:dyDescent="0.3">
      <c r="A45" s="7">
        <v>37</v>
      </c>
      <c r="B45" s="8" t="s">
        <v>40</v>
      </c>
      <c r="C45" s="29">
        <v>60</v>
      </c>
      <c r="D45" s="10" t="s">
        <v>8</v>
      </c>
      <c r="E45" s="11">
        <f t="shared" si="5"/>
        <v>60</v>
      </c>
      <c r="F45" s="12">
        <v>2700</v>
      </c>
      <c r="G45" s="74">
        <f t="shared" si="4"/>
        <v>162000</v>
      </c>
      <c r="H45" s="85">
        <v>81000</v>
      </c>
      <c r="I45" s="85">
        <v>81000</v>
      </c>
    </row>
    <row r="46" spans="1:9" x14ac:dyDescent="0.3">
      <c r="A46" s="7">
        <v>38</v>
      </c>
      <c r="B46" s="8" t="s">
        <v>41</v>
      </c>
      <c r="C46" s="29">
        <v>10</v>
      </c>
      <c r="D46" s="10" t="s">
        <v>8</v>
      </c>
      <c r="E46" s="11">
        <f t="shared" si="5"/>
        <v>10</v>
      </c>
      <c r="F46" s="12">
        <v>2700</v>
      </c>
      <c r="G46" s="74">
        <f t="shared" si="4"/>
        <v>27000</v>
      </c>
      <c r="H46" s="85"/>
      <c r="I46" s="85">
        <v>27000</v>
      </c>
    </row>
    <row r="47" spans="1:9" x14ac:dyDescent="0.3">
      <c r="A47" s="7">
        <v>39</v>
      </c>
      <c r="B47" s="8" t="s">
        <v>42</v>
      </c>
      <c r="C47" s="29">
        <v>25</v>
      </c>
      <c r="D47" s="10" t="s">
        <v>8</v>
      </c>
      <c r="E47" s="11">
        <f t="shared" si="5"/>
        <v>25</v>
      </c>
      <c r="F47" s="12">
        <v>2700</v>
      </c>
      <c r="G47" s="74">
        <f t="shared" si="4"/>
        <v>67500</v>
      </c>
      <c r="H47" s="85"/>
      <c r="I47" s="85">
        <v>67500</v>
      </c>
    </row>
    <row r="48" spans="1:9" x14ac:dyDescent="0.3">
      <c r="A48" s="7">
        <v>40</v>
      </c>
      <c r="B48" s="8" t="s">
        <v>43</v>
      </c>
      <c r="C48" s="29">
        <v>10</v>
      </c>
      <c r="D48" s="10" t="s">
        <v>8</v>
      </c>
      <c r="E48" s="11">
        <f t="shared" si="5"/>
        <v>10</v>
      </c>
      <c r="F48" s="12">
        <v>2700</v>
      </c>
      <c r="G48" s="74">
        <f t="shared" si="4"/>
        <v>27000</v>
      </c>
      <c r="H48" s="85"/>
      <c r="I48" s="85">
        <v>27000</v>
      </c>
    </row>
    <row r="49" spans="1:9" x14ac:dyDescent="0.3">
      <c r="A49" s="7">
        <v>41</v>
      </c>
      <c r="B49" s="8" t="s">
        <v>44</v>
      </c>
      <c r="C49" s="29">
        <v>150</v>
      </c>
      <c r="D49" s="10" t="s">
        <v>8</v>
      </c>
      <c r="E49" s="11">
        <f t="shared" si="5"/>
        <v>150</v>
      </c>
      <c r="F49" s="12">
        <v>2700</v>
      </c>
      <c r="G49" s="74">
        <f t="shared" si="4"/>
        <v>405000</v>
      </c>
      <c r="H49" s="85">
        <v>405000</v>
      </c>
      <c r="I49" s="77"/>
    </row>
    <row r="50" spans="1:9" x14ac:dyDescent="0.3">
      <c r="A50" s="7">
        <v>42</v>
      </c>
      <c r="B50" s="8" t="s">
        <v>45</v>
      </c>
      <c r="C50" s="29">
        <v>150</v>
      </c>
      <c r="D50" s="10" t="s">
        <v>8</v>
      </c>
      <c r="E50" s="11">
        <v>150</v>
      </c>
      <c r="F50" s="12">
        <v>2700</v>
      </c>
      <c r="G50" s="74">
        <f>(F50*E50)</f>
        <v>405000</v>
      </c>
      <c r="H50" s="85">
        <v>405000</v>
      </c>
      <c r="I50" s="77"/>
    </row>
    <row r="51" spans="1:9" x14ac:dyDescent="0.3">
      <c r="A51" s="7">
        <v>43</v>
      </c>
      <c r="B51" s="8" t="s">
        <v>46</v>
      </c>
      <c r="C51" s="29">
        <v>150</v>
      </c>
      <c r="D51" s="10" t="s">
        <v>8</v>
      </c>
      <c r="E51" s="11">
        <f>(C51)</f>
        <v>150</v>
      </c>
      <c r="F51" s="12">
        <v>2700</v>
      </c>
      <c r="G51" s="74">
        <f t="shared" si="4"/>
        <v>405000</v>
      </c>
      <c r="H51" s="84">
        <v>405000</v>
      </c>
      <c r="I51" s="77"/>
    </row>
    <row r="52" spans="1:9" x14ac:dyDescent="0.3">
      <c r="A52" s="7">
        <v>44</v>
      </c>
      <c r="B52" s="18" t="s">
        <v>47</v>
      </c>
      <c r="C52" s="30">
        <v>160</v>
      </c>
      <c r="D52" s="10" t="s">
        <v>8</v>
      </c>
      <c r="E52" s="11">
        <f t="shared" si="5"/>
        <v>160</v>
      </c>
      <c r="F52" s="12">
        <v>2700</v>
      </c>
      <c r="G52" s="74">
        <f t="shared" si="4"/>
        <v>432000</v>
      </c>
      <c r="H52" s="85">
        <v>432000</v>
      </c>
      <c r="I52" s="77"/>
    </row>
    <row r="53" spans="1:9" x14ac:dyDescent="0.3">
      <c r="A53" s="7">
        <v>45</v>
      </c>
      <c r="B53" s="18" t="s">
        <v>48</v>
      </c>
      <c r="C53" s="11">
        <v>100</v>
      </c>
      <c r="D53" s="10" t="s">
        <v>8</v>
      </c>
      <c r="E53" s="11">
        <f t="shared" si="5"/>
        <v>100</v>
      </c>
      <c r="F53" s="12">
        <v>2700</v>
      </c>
      <c r="G53" s="74">
        <f t="shared" si="4"/>
        <v>270000</v>
      </c>
      <c r="H53" s="85">
        <v>270000</v>
      </c>
      <c r="I53" s="77"/>
    </row>
    <row r="54" spans="1:9" x14ac:dyDescent="0.3">
      <c r="A54" s="7">
        <v>46</v>
      </c>
      <c r="B54" s="7" t="s">
        <v>49</v>
      </c>
      <c r="C54" s="11">
        <v>150</v>
      </c>
      <c r="D54" s="10" t="s">
        <v>8</v>
      </c>
      <c r="E54" s="11">
        <f t="shared" si="5"/>
        <v>150</v>
      </c>
      <c r="F54" s="12">
        <v>2700</v>
      </c>
      <c r="G54" s="74">
        <f t="shared" si="4"/>
        <v>405000</v>
      </c>
      <c r="H54" s="85">
        <v>405000</v>
      </c>
      <c r="I54" s="77"/>
    </row>
    <row r="55" spans="1:9" x14ac:dyDescent="0.3">
      <c r="A55" s="7">
        <v>47</v>
      </c>
      <c r="B55" s="18" t="s">
        <v>50</v>
      </c>
      <c r="C55" s="11">
        <v>10</v>
      </c>
      <c r="D55" s="10" t="s">
        <v>8</v>
      </c>
      <c r="E55" s="11">
        <f t="shared" si="5"/>
        <v>10</v>
      </c>
      <c r="F55" s="12">
        <v>2700</v>
      </c>
      <c r="G55" s="74">
        <f t="shared" si="4"/>
        <v>27000</v>
      </c>
      <c r="H55" s="85"/>
      <c r="I55" s="85">
        <v>27000</v>
      </c>
    </row>
    <row r="56" spans="1:9" x14ac:dyDescent="0.3">
      <c r="A56" s="7">
        <v>48</v>
      </c>
      <c r="B56" s="18" t="s">
        <v>51</v>
      </c>
      <c r="C56" s="11">
        <v>30</v>
      </c>
      <c r="D56" s="10" t="s">
        <v>8</v>
      </c>
      <c r="E56" s="11">
        <f t="shared" si="5"/>
        <v>30</v>
      </c>
      <c r="F56" s="12">
        <v>2700</v>
      </c>
      <c r="G56" s="74">
        <f>(F56*E56)</f>
        <v>81000</v>
      </c>
      <c r="H56" s="85"/>
      <c r="I56" s="85">
        <v>81000</v>
      </c>
    </row>
    <row r="57" spans="1:9" x14ac:dyDescent="0.3">
      <c r="A57" s="7">
        <v>49</v>
      </c>
      <c r="B57" s="18" t="s">
        <v>52</v>
      </c>
      <c r="C57" s="11">
        <v>20</v>
      </c>
      <c r="D57" s="10" t="s">
        <v>8</v>
      </c>
      <c r="E57" s="11">
        <f t="shared" si="5"/>
        <v>20</v>
      </c>
      <c r="F57" s="12">
        <v>2700</v>
      </c>
      <c r="G57" s="74">
        <f>(F57*E57)</f>
        <v>54000</v>
      </c>
      <c r="H57" s="85">
        <v>54000</v>
      </c>
      <c r="I57" s="85"/>
    </row>
    <row r="58" spans="1:9" x14ac:dyDescent="0.3">
      <c r="A58" s="7">
        <v>50</v>
      </c>
      <c r="B58" s="18" t="s">
        <v>53</v>
      </c>
      <c r="C58" s="11">
        <v>100</v>
      </c>
      <c r="D58" s="10" t="s">
        <v>8</v>
      </c>
      <c r="E58" s="11">
        <f t="shared" si="5"/>
        <v>100</v>
      </c>
      <c r="F58" s="12">
        <v>2700</v>
      </c>
      <c r="G58" s="74">
        <f t="shared" ref="G58:G61" si="6">(F58*E58)</f>
        <v>270000</v>
      </c>
      <c r="H58" s="51"/>
      <c r="I58" s="85">
        <v>270000</v>
      </c>
    </row>
    <row r="59" spans="1:9" x14ac:dyDescent="0.3">
      <c r="A59" s="7">
        <v>51</v>
      </c>
      <c r="B59" s="18" t="s">
        <v>54</v>
      </c>
      <c r="C59" s="11">
        <v>30</v>
      </c>
      <c r="D59" s="10" t="s">
        <v>8</v>
      </c>
      <c r="E59" s="11">
        <f t="shared" si="5"/>
        <v>30</v>
      </c>
      <c r="F59" s="12">
        <v>2700</v>
      </c>
      <c r="G59" s="74">
        <f t="shared" si="6"/>
        <v>81000</v>
      </c>
      <c r="H59" s="51"/>
      <c r="I59" s="85">
        <v>81000</v>
      </c>
    </row>
    <row r="60" spans="1:9" x14ac:dyDescent="0.3">
      <c r="A60" s="7">
        <v>52</v>
      </c>
      <c r="B60" s="18" t="s">
        <v>102</v>
      </c>
      <c r="C60" s="11">
        <v>100</v>
      </c>
      <c r="D60" s="10" t="s">
        <v>8</v>
      </c>
      <c r="E60" s="11">
        <f t="shared" si="5"/>
        <v>100</v>
      </c>
      <c r="F60" s="12">
        <v>2700</v>
      </c>
      <c r="G60" s="74">
        <f t="shared" si="6"/>
        <v>270000</v>
      </c>
      <c r="H60" s="51"/>
      <c r="I60" s="85">
        <v>270000</v>
      </c>
    </row>
    <row r="61" spans="1:9" x14ac:dyDescent="0.3">
      <c r="A61" s="7">
        <v>53</v>
      </c>
      <c r="B61" s="18" t="s">
        <v>103</v>
      </c>
      <c r="C61" s="11">
        <v>10</v>
      </c>
      <c r="D61" s="10" t="s">
        <v>8</v>
      </c>
      <c r="E61" s="11">
        <f t="shared" si="5"/>
        <v>10</v>
      </c>
      <c r="F61" s="12">
        <v>2700</v>
      </c>
      <c r="G61" s="74">
        <f t="shared" si="6"/>
        <v>27000</v>
      </c>
      <c r="H61" s="92">
        <v>27000</v>
      </c>
    </row>
    <row r="62" spans="1:9" x14ac:dyDescent="0.3">
      <c r="A62" s="7"/>
      <c r="B62" s="18"/>
      <c r="C62" s="68"/>
      <c r="D62" s="69"/>
      <c r="E62" s="11"/>
      <c r="F62" s="12"/>
      <c r="G62" s="74"/>
      <c r="H62" s="78"/>
      <c r="I62" s="77"/>
    </row>
    <row r="63" spans="1:9" s="39" customFormat="1" x14ac:dyDescent="0.3">
      <c r="A63" s="7"/>
      <c r="B63" s="7"/>
      <c r="C63" s="36"/>
      <c r="D63" s="10"/>
      <c r="E63" s="37"/>
      <c r="F63" s="37"/>
      <c r="G63" s="80"/>
      <c r="H63" s="77"/>
      <c r="I63" s="78"/>
    </row>
    <row r="64" spans="1:9" s="39" customFormat="1" x14ac:dyDescent="0.3">
      <c r="A64" s="7"/>
      <c r="B64" s="7"/>
      <c r="C64" s="36"/>
      <c r="D64" s="10"/>
      <c r="E64" s="7"/>
      <c r="F64" s="42"/>
      <c r="G64" s="13" t="s">
        <v>115</v>
      </c>
      <c r="H64" s="77">
        <f>SUM(H4:H63)</f>
        <v>5905800</v>
      </c>
    </row>
    <row r="65" spans="1:9" s="39" customFormat="1" x14ac:dyDescent="0.3">
      <c r="A65" s="7"/>
      <c r="B65" s="7"/>
      <c r="C65" s="36"/>
      <c r="D65" s="81"/>
      <c r="E65" s="82"/>
      <c r="F65" s="83"/>
      <c r="G65" s="79" t="s">
        <v>116</v>
      </c>
      <c r="H65" s="77"/>
      <c r="I65" s="78">
        <f>SUM(I13:I64)</f>
        <v>3585600</v>
      </c>
    </row>
    <row r="66" spans="1:9" s="39" customFormat="1" x14ac:dyDescent="0.3">
      <c r="A66" s="7"/>
      <c r="B66" s="7"/>
      <c r="C66" s="36"/>
      <c r="D66" s="81"/>
      <c r="E66" s="82"/>
      <c r="F66" s="83"/>
      <c r="G66" s="79"/>
      <c r="H66" s="77"/>
      <c r="I66" s="51"/>
    </row>
    <row r="67" spans="1:9" s="39" customFormat="1" x14ac:dyDescent="0.3">
      <c r="A67" s="7"/>
      <c r="B67" s="7"/>
      <c r="C67" s="36"/>
      <c r="D67" s="81"/>
      <c r="E67" s="82"/>
      <c r="F67" s="83"/>
      <c r="G67" s="79"/>
      <c r="H67" s="77"/>
      <c r="I67" s="51"/>
    </row>
    <row r="68" spans="1:9" s="39" customFormat="1" x14ac:dyDescent="0.3">
      <c r="A68" s="7"/>
      <c r="B68" s="7"/>
      <c r="C68" s="36"/>
      <c r="D68" s="81"/>
      <c r="E68" s="82"/>
      <c r="F68" s="83"/>
      <c r="G68" s="19" t="s">
        <v>117</v>
      </c>
      <c r="H68" s="85">
        <f>H64*5+270000</f>
        <v>29799000</v>
      </c>
      <c r="I68" s="51"/>
    </row>
    <row r="69" spans="1:9" s="39" customFormat="1" x14ac:dyDescent="0.3">
      <c r="A69" s="7"/>
      <c r="B69" s="7"/>
      <c r="C69" s="36"/>
      <c r="D69" s="81"/>
      <c r="E69" s="82"/>
      <c r="F69" s="83"/>
      <c r="G69" s="79"/>
      <c r="H69" s="77"/>
      <c r="I69" s="51"/>
    </row>
    <row r="70" spans="1:9" s="39" customFormat="1" x14ac:dyDescent="0.3">
      <c r="A70" s="7"/>
      <c r="B70" s="7"/>
      <c r="C70" s="36"/>
      <c r="D70" s="81"/>
      <c r="E70" s="82"/>
      <c r="F70" s="83"/>
      <c r="G70" s="79"/>
      <c r="H70" s="77"/>
      <c r="I70" s="51"/>
    </row>
    <row r="71" spans="1:9" s="39" customFormat="1" x14ac:dyDescent="0.3">
      <c r="A71" s="7"/>
      <c r="B71" s="7"/>
      <c r="C71" s="36"/>
      <c r="D71" s="81"/>
      <c r="E71" s="82"/>
      <c r="F71" s="83"/>
      <c r="G71" s="90" t="s">
        <v>118</v>
      </c>
      <c r="H71" s="77"/>
      <c r="I71" s="51">
        <f>I65*5</f>
        <v>17928000</v>
      </c>
    </row>
    <row r="72" spans="1:9" s="39" customFormat="1" x14ac:dyDescent="0.3">
      <c r="A72" s="7"/>
      <c r="B72" s="7"/>
      <c r="C72" s="36"/>
      <c r="D72" s="81"/>
      <c r="E72" s="82"/>
      <c r="F72" s="83"/>
      <c r="G72" s="79"/>
      <c r="H72" s="77"/>
      <c r="I72" s="51"/>
    </row>
    <row r="73" spans="1:9" s="39" customFormat="1" x14ac:dyDescent="0.3">
      <c r="A73" s="7"/>
      <c r="B73" s="7"/>
      <c r="C73" s="36"/>
      <c r="D73" s="10"/>
      <c r="E73" s="42"/>
      <c r="F73" s="13"/>
      <c r="G73" s="13"/>
      <c r="H73" s="84"/>
      <c r="I73" s="78"/>
    </row>
    <row r="74" spans="1:9" s="39" customFormat="1" x14ac:dyDescent="0.3">
      <c r="A74" s="7"/>
      <c r="B74" s="7"/>
      <c r="C74" s="36"/>
      <c r="D74" s="10"/>
      <c r="E74" s="42"/>
      <c r="F74" s="13"/>
      <c r="G74" s="13"/>
      <c r="H74" s="84"/>
      <c r="I74" s="78"/>
    </row>
    <row r="75" spans="1:9" x14ac:dyDescent="0.3">
      <c r="A75" s="7"/>
      <c r="B75" s="52"/>
      <c r="C75" s="56"/>
      <c r="D75" s="18"/>
      <c r="E75" s="80"/>
      <c r="F75" s="12"/>
      <c r="G75" s="13" t="s">
        <v>119</v>
      </c>
      <c r="H75" s="85">
        <f>H68+I71</f>
        <v>47727000</v>
      </c>
      <c r="I75" s="77"/>
    </row>
    <row r="76" spans="1:9" x14ac:dyDescent="0.3">
      <c r="A76" s="7"/>
      <c r="B76" s="18"/>
      <c r="C76" s="56"/>
      <c r="D76" s="18"/>
      <c r="E76" s="18"/>
      <c r="F76" s="12"/>
      <c r="G76" s="12"/>
    </row>
    <row r="77" spans="1:9" s="59" customFormat="1" x14ac:dyDescent="0.3">
      <c r="A77" s="57"/>
      <c r="B77" s="58" t="s">
        <v>73</v>
      </c>
      <c r="C77" s="102" t="s">
        <v>74</v>
      </c>
      <c r="D77" s="102"/>
      <c r="E77" s="103" t="s">
        <v>75</v>
      </c>
      <c r="F77" s="103"/>
      <c r="G77" s="58" t="s">
        <v>76</v>
      </c>
      <c r="H77" s="16"/>
      <c r="I77" s="73"/>
    </row>
    <row r="78" spans="1:9" x14ac:dyDescent="0.3">
      <c r="A78" s="7"/>
      <c r="B78" s="94" t="s">
        <v>77</v>
      </c>
      <c r="C78" s="95" t="s">
        <v>78</v>
      </c>
      <c r="D78" s="95"/>
      <c r="E78" s="95"/>
      <c r="F78" s="95"/>
      <c r="G78" s="96"/>
    </row>
    <row r="79" spans="1:9" ht="39.6" customHeight="1" x14ac:dyDescent="0.3">
      <c r="A79" s="7"/>
      <c r="B79" s="94"/>
      <c r="C79" s="95"/>
      <c r="D79" s="95"/>
      <c r="E79" s="95"/>
      <c r="F79" s="95"/>
      <c r="G79" s="96"/>
    </row>
    <row r="80" spans="1:9" x14ac:dyDescent="0.3">
      <c r="A80" s="7"/>
      <c r="B80" s="60" t="s">
        <v>79</v>
      </c>
      <c r="C80" s="106" t="s">
        <v>80</v>
      </c>
      <c r="D80" s="107"/>
      <c r="E80" s="106" t="s">
        <v>81</v>
      </c>
      <c r="F80" s="107"/>
      <c r="G80" s="61" t="s">
        <v>82</v>
      </c>
    </row>
    <row r="81" spans="1:9" ht="53.4" customHeight="1" x14ac:dyDescent="0.3">
      <c r="A81" s="7"/>
      <c r="B81" s="70" t="s">
        <v>83</v>
      </c>
      <c r="C81" s="108" t="s">
        <v>84</v>
      </c>
      <c r="D81" s="109"/>
      <c r="E81" s="110"/>
      <c r="F81" s="111"/>
      <c r="G81" s="12"/>
    </row>
    <row r="82" spans="1:9" s="59" customFormat="1" x14ac:dyDescent="0.3">
      <c r="A82" s="57"/>
      <c r="B82" s="58" t="s">
        <v>85</v>
      </c>
      <c r="C82" s="102" t="s">
        <v>74</v>
      </c>
      <c r="D82" s="102"/>
      <c r="E82" s="103" t="s">
        <v>75</v>
      </c>
      <c r="F82" s="103"/>
      <c r="G82" s="58" t="s">
        <v>76</v>
      </c>
      <c r="H82" s="16"/>
      <c r="I82" s="73"/>
    </row>
    <row r="83" spans="1:9" x14ac:dyDescent="0.3">
      <c r="A83" s="7"/>
      <c r="B83" s="94" t="s">
        <v>86</v>
      </c>
      <c r="C83" s="95" t="s">
        <v>87</v>
      </c>
      <c r="D83" s="95"/>
      <c r="E83" s="94"/>
      <c r="F83" s="94"/>
      <c r="G83" s="96"/>
    </row>
    <row r="84" spans="1:9" ht="48.6" customHeight="1" x14ac:dyDescent="0.3">
      <c r="A84" s="7"/>
      <c r="B84" s="94"/>
      <c r="C84" s="95"/>
      <c r="D84" s="95"/>
      <c r="E84" s="94"/>
      <c r="F84" s="94"/>
      <c r="G84" s="96"/>
    </row>
  </sheetData>
  <mergeCells count="18">
    <mergeCell ref="G83:G84"/>
    <mergeCell ref="C81:D81"/>
    <mergeCell ref="E81:F81"/>
    <mergeCell ref="C82:D82"/>
    <mergeCell ref="E82:F82"/>
    <mergeCell ref="B83:B84"/>
    <mergeCell ref="C83:D84"/>
    <mergeCell ref="E83:F84"/>
    <mergeCell ref="B78:B79"/>
    <mergeCell ref="C78:D79"/>
    <mergeCell ref="E78:F79"/>
    <mergeCell ref="G78:G79"/>
    <mergeCell ref="C80:D80"/>
    <mergeCell ref="E80:F80"/>
    <mergeCell ref="A1:G1"/>
    <mergeCell ref="C2:E2"/>
    <mergeCell ref="C77:D77"/>
    <mergeCell ref="E77:F7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N16" sqref="N16"/>
    </sheetView>
  </sheetViews>
  <sheetFormatPr defaultRowHeight="14.4" x14ac:dyDescent="0.3"/>
  <cols>
    <col min="2" max="2" width="20.6640625" bestFit="1" customWidth="1"/>
    <col min="8" max="8" width="32.33203125" customWidth="1"/>
  </cols>
  <sheetData>
    <row r="1" spans="1:10" x14ac:dyDescent="0.3">
      <c r="B1" t="s">
        <v>148</v>
      </c>
    </row>
    <row r="2" spans="1:10" x14ac:dyDescent="0.3">
      <c r="A2" t="s">
        <v>136</v>
      </c>
    </row>
    <row r="3" spans="1:10" x14ac:dyDescent="0.3">
      <c r="A3">
        <v>1</v>
      </c>
      <c r="B3" t="s">
        <v>120</v>
      </c>
      <c r="C3" s="113">
        <v>100</v>
      </c>
      <c r="F3" s="112" t="s">
        <v>140</v>
      </c>
      <c r="G3" s="112"/>
      <c r="H3" s="112"/>
      <c r="I3" s="112"/>
      <c r="J3" s="112"/>
    </row>
    <row r="4" spans="1:10" x14ac:dyDescent="0.3">
      <c r="A4">
        <v>2</v>
      </c>
      <c r="B4" t="s">
        <v>121</v>
      </c>
      <c r="C4" s="113">
        <v>100</v>
      </c>
    </row>
    <row r="5" spans="1:10" x14ac:dyDescent="0.3">
      <c r="A5">
        <v>3</v>
      </c>
      <c r="B5" t="s">
        <v>122</v>
      </c>
      <c r="C5" s="113">
        <v>25</v>
      </c>
      <c r="H5" t="s">
        <v>141</v>
      </c>
      <c r="I5">
        <v>100</v>
      </c>
    </row>
    <row r="6" spans="1:10" x14ac:dyDescent="0.3">
      <c r="A6">
        <v>4</v>
      </c>
      <c r="B6" t="s">
        <v>123</v>
      </c>
      <c r="C6" s="113">
        <v>100</v>
      </c>
      <c r="H6" t="s">
        <v>122</v>
      </c>
      <c r="I6">
        <v>25</v>
      </c>
    </row>
    <row r="7" spans="1:10" x14ac:dyDescent="0.3">
      <c r="A7">
        <v>5</v>
      </c>
      <c r="B7" t="s">
        <v>124</v>
      </c>
      <c r="C7" s="113">
        <v>40</v>
      </c>
      <c r="H7" t="s">
        <v>147</v>
      </c>
      <c r="I7">
        <v>100</v>
      </c>
    </row>
    <row r="8" spans="1:10" x14ac:dyDescent="0.3">
      <c r="A8">
        <v>6</v>
      </c>
      <c r="B8" t="s">
        <v>130</v>
      </c>
      <c r="C8" s="113">
        <v>50</v>
      </c>
      <c r="H8" t="s">
        <v>142</v>
      </c>
      <c r="I8">
        <v>150</v>
      </c>
    </row>
    <row r="9" spans="1:10" x14ac:dyDescent="0.3">
      <c r="A9">
        <v>7</v>
      </c>
      <c r="B9" t="s">
        <v>125</v>
      </c>
      <c r="C9" s="113">
        <v>150</v>
      </c>
      <c r="H9" t="s">
        <v>126</v>
      </c>
      <c r="I9">
        <v>10</v>
      </c>
    </row>
    <row r="10" spans="1:10" x14ac:dyDescent="0.3">
      <c r="A10">
        <v>8</v>
      </c>
      <c r="B10" t="s">
        <v>126</v>
      </c>
      <c r="C10" s="113">
        <v>10</v>
      </c>
      <c r="H10" t="s">
        <v>143</v>
      </c>
      <c r="I10">
        <v>30</v>
      </c>
    </row>
    <row r="11" spans="1:10" x14ac:dyDescent="0.3">
      <c r="A11">
        <v>9</v>
      </c>
      <c r="B11" t="s">
        <v>127</v>
      </c>
      <c r="C11" s="113">
        <v>40</v>
      </c>
      <c r="H11" t="s">
        <v>41</v>
      </c>
      <c r="I11">
        <v>10</v>
      </c>
    </row>
    <row r="12" spans="1:10" x14ac:dyDescent="0.3">
      <c r="A12">
        <v>10</v>
      </c>
      <c r="B12" t="s">
        <v>128</v>
      </c>
      <c r="C12" s="113">
        <v>30</v>
      </c>
      <c r="H12" t="s">
        <v>144</v>
      </c>
      <c r="I12">
        <v>25</v>
      </c>
    </row>
    <row r="13" spans="1:10" x14ac:dyDescent="0.3">
      <c r="A13">
        <v>11</v>
      </c>
      <c r="B13" t="s">
        <v>41</v>
      </c>
      <c r="C13" s="113">
        <v>10</v>
      </c>
      <c r="H13" t="s">
        <v>145</v>
      </c>
      <c r="I13">
        <v>10</v>
      </c>
    </row>
    <row r="14" spans="1:10" x14ac:dyDescent="0.3">
      <c r="A14">
        <v>12</v>
      </c>
      <c r="B14" t="s">
        <v>129</v>
      </c>
      <c r="C14" s="113">
        <v>25</v>
      </c>
      <c r="H14" t="s">
        <v>146</v>
      </c>
      <c r="I14">
        <v>30</v>
      </c>
    </row>
    <row r="15" spans="1:10" x14ac:dyDescent="0.3">
      <c r="A15">
        <v>13</v>
      </c>
      <c r="B15" t="s">
        <v>131</v>
      </c>
      <c r="C15" s="113">
        <v>10</v>
      </c>
    </row>
    <row r="16" spans="1:10" x14ac:dyDescent="0.3">
      <c r="A16">
        <v>14</v>
      </c>
      <c r="B16" t="s">
        <v>132</v>
      </c>
      <c r="C16" s="113">
        <v>10</v>
      </c>
      <c r="H16" s="114" t="s">
        <v>149</v>
      </c>
      <c r="I16" s="114">
        <f>SUM(I5:I15)</f>
        <v>490</v>
      </c>
    </row>
    <row r="17" spans="1:4" x14ac:dyDescent="0.3">
      <c r="A17">
        <v>15</v>
      </c>
      <c r="B17" t="s">
        <v>133</v>
      </c>
      <c r="C17" s="113">
        <v>30</v>
      </c>
    </row>
    <row r="18" spans="1:4" x14ac:dyDescent="0.3">
      <c r="A18">
        <v>16</v>
      </c>
      <c r="B18" t="s">
        <v>53</v>
      </c>
      <c r="C18" s="113">
        <v>100</v>
      </c>
    </row>
    <row r="19" spans="1:4" x14ac:dyDescent="0.3">
      <c r="A19">
        <v>17</v>
      </c>
      <c r="B19" t="s">
        <v>134</v>
      </c>
      <c r="C19" s="113">
        <v>30</v>
      </c>
    </row>
    <row r="20" spans="1:4" x14ac:dyDescent="0.3">
      <c r="A20">
        <v>18</v>
      </c>
      <c r="B20" t="s">
        <v>135</v>
      </c>
      <c r="C20" s="113">
        <v>100</v>
      </c>
    </row>
    <row r="21" spans="1:4" x14ac:dyDescent="0.3">
      <c r="A21">
        <v>19</v>
      </c>
      <c r="B21" t="s">
        <v>137</v>
      </c>
      <c r="C21" s="113">
        <v>20</v>
      </c>
    </row>
    <row r="23" spans="1:4" x14ac:dyDescent="0.3">
      <c r="B23" t="s">
        <v>138</v>
      </c>
      <c r="C23" s="112" t="s">
        <v>139</v>
      </c>
      <c r="D23" s="112"/>
    </row>
  </sheetData>
  <mergeCells count="2">
    <mergeCell ref="C23:D23"/>
    <mergeCell ref="F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T980EPE </vt:lpstr>
      <vt:lpstr>FUEL </vt:lpstr>
      <vt:lpstr>T312 EMD </vt:lpstr>
      <vt:lpstr>T265 EMD </vt:lpstr>
      <vt:lpstr>T262 EMD </vt:lpstr>
      <vt:lpstr>T310 EMD </vt:lpstr>
      <vt:lpstr>Seekers &amp; korridor </vt:lpstr>
      <vt:lpstr>990 DISTRIBITION </vt:lpstr>
      <vt:lpstr>'T262 EMD '!Print_Area</vt:lpstr>
      <vt:lpstr>'T265 EMD '!Print_Area</vt:lpstr>
      <vt:lpstr>'T312 EMD '!Print_Area</vt:lpstr>
      <vt:lpstr>'T980EPE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2026-01-29T10:38:36Z</cp:lastPrinted>
  <dcterms:created xsi:type="dcterms:W3CDTF">2026-01-26T12:18:39Z</dcterms:created>
  <dcterms:modified xsi:type="dcterms:W3CDTF">2026-02-12T09:29:41Z</dcterms:modified>
</cp:coreProperties>
</file>