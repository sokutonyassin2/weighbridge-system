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232" windowHeight="913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4" i="1" l="1"/>
  <c r="AC4" i="1" s="1"/>
  <c r="AB5" i="1"/>
  <c r="AC5" i="1" s="1"/>
  <c r="AB6" i="1"/>
  <c r="AC6" i="1" s="1"/>
  <c r="AB7" i="1"/>
  <c r="AC7" i="1" s="1"/>
  <c r="AB8" i="1"/>
  <c r="AC8" i="1" s="1"/>
  <c r="AB3" i="1"/>
  <c r="AC3" i="1" s="1"/>
</calcChain>
</file>

<file path=xl/sharedStrings.xml><?xml version="1.0" encoding="utf-8"?>
<sst xmlns="http://schemas.openxmlformats.org/spreadsheetml/2006/main" count="97" uniqueCount="80">
  <si>
    <t xml:space="preserve">SUDENERGY LOGISTICS TRACKING REPORT </t>
  </si>
  <si>
    <t>S/N</t>
  </si>
  <si>
    <t>TRUCK</t>
  </si>
  <si>
    <t>TRAILER</t>
  </si>
  <si>
    <t>TRIP #</t>
  </si>
  <si>
    <t>DRIVER</t>
  </si>
  <si>
    <t>LICENCE</t>
  </si>
  <si>
    <t>PASSPORT</t>
  </si>
  <si>
    <t>CONTACT</t>
  </si>
  <si>
    <t>LOCATION</t>
  </si>
  <si>
    <t>BL NUMBER</t>
  </si>
  <si>
    <t>CONTAINER NO:</t>
  </si>
  <si>
    <t>CARGO</t>
  </si>
  <si>
    <t>STATUS</t>
  </si>
  <si>
    <t xml:space="preserve">DESTINATION </t>
  </si>
  <si>
    <t xml:space="preserve">ARRIVAL LOADING </t>
  </si>
  <si>
    <t xml:space="preserve">LOADING DATE </t>
  </si>
  <si>
    <t xml:space="preserve">DISPATCH DATE </t>
  </si>
  <si>
    <t>TUNDUMA ARRIVAL</t>
  </si>
  <si>
    <t xml:space="preserve">TUNDUMA DEPARTURE </t>
  </si>
  <si>
    <t>DAYS AT TUNDUMA</t>
  </si>
  <si>
    <t xml:space="preserve">CROSSING DATE </t>
  </si>
  <si>
    <t xml:space="preserve">NAKONDE ARRIVAL </t>
  </si>
  <si>
    <t xml:space="preserve">NAKONDE DEPARTURE </t>
  </si>
  <si>
    <t xml:space="preserve">DAYS AT NAKONDE </t>
  </si>
  <si>
    <t xml:space="preserve">STANDING CHARGES </t>
  </si>
  <si>
    <t xml:space="preserve">ARRIVE AT OFFLOADING SITE </t>
  </si>
  <si>
    <t xml:space="preserve">OFFLOADING DATE </t>
  </si>
  <si>
    <t xml:space="preserve">TODAY'S DATE </t>
  </si>
  <si>
    <t xml:space="preserve">TOTAL TRIP DAYS </t>
  </si>
  <si>
    <t>-</t>
  </si>
  <si>
    <t xml:space="preserve">CONSOLIDATED </t>
  </si>
  <si>
    <t xml:space="preserve">T983 EPE </t>
  </si>
  <si>
    <t xml:space="preserve">BEATUS BEATUS KOMBA </t>
  </si>
  <si>
    <t>TAE700496</t>
  </si>
  <si>
    <t xml:space="preserve">T309 EMD </t>
  </si>
  <si>
    <t xml:space="preserve">T616 ECP </t>
  </si>
  <si>
    <t>AHIMIDIWE EPAFRA SALEWA</t>
  </si>
  <si>
    <t>TAE404838</t>
  </si>
  <si>
    <t xml:space="preserve"> </t>
  </si>
  <si>
    <t>T982 EPE</t>
  </si>
  <si>
    <t>T502 EHB</t>
  </si>
  <si>
    <t xml:space="preserve">T313 EMD </t>
  </si>
  <si>
    <t xml:space="preserve">T949 AUP </t>
  </si>
  <si>
    <t>T220ENG</t>
  </si>
  <si>
    <t xml:space="preserve">T311 EMD </t>
  </si>
  <si>
    <t xml:space="preserve">T219 ENG </t>
  </si>
  <si>
    <t xml:space="preserve">T807 DFE </t>
  </si>
  <si>
    <t xml:space="preserve">T614 ECP </t>
  </si>
  <si>
    <t>TRESFOR JOSEPH TAWETE</t>
  </si>
  <si>
    <t xml:space="preserve">SELEMAN KIBWANA MAGATI </t>
  </si>
  <si>
    <t>ADOLF PAUL KILIMANJARO</t>
  </si>
  <si>
    <t>HUSENI HAMADI SUFIANI</t>
  </si>
  <si>
    <t>AB10055239</t>
  </si>
  <si>
    <t>TAE592408</t>
  </si>
  <si>
    <t>AB10003332</t>
  </si>
  <si>
    <t>TAE702059</t>
  </si>
  <si>
    <t>255659 663390</t>
  </si>
  <si>
    <t>255769 430 345</t>
  </si>
  <si>
    <t>255755 701 671</t>
  </si>
  <si>
    <t>255767 009 091</t>
  </si>
  <si>
    <t>255711 296 512</t>
  </si>
  <si>
    <t>255611 969 002</t>
  </si>
  <si>
    <t>MSDU7978492</t>
  </si>
  <si>
    <t>SEKU4007389</t>
  </si>
  <si>
    <t>MSBU5459870</t>
  </si>
  <si>
    <t>MEDU7585013</t>
  </si>
  <si>
    <t>MEDU4738340</t>
  </si>
  <si>
    <t>FFAU1953020</t>
  </si>
  <si>
    <t>T982/2025/G004</t>
  </si>
  <si>
    <t>T983/2025/G004</t>
  </si>
  <si>
    <t>T313/2025/G006</t>
  </si>
  <si>
    <t>T309/2025/G007</t>
  </si>
  <si>
    <t>T311/2025/G006</t>
  </si>
  <si>
    <t>T807/2025/G011</t>
  </si>
  <si>
    <t>KONGOWE -PWANI, TANZANIA</t>
  </si>
  <si>
    <t xml:space="preserve">MDAULA, TANZANIA </t>
  </si>
  <si>
    <t xml:space="preserve">MIKUMI, TANZANIA </t>
  </si>
  <si>
    <t xml:space="preserve">STANDBY TO DISPATCH </t>
  </si>
  <si>
    <t>MOVING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</si>
</sst>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1009]* #,##0.00_-;\-[$$-1009]* #,##0.00_-;_-[$$-1009]* &quot;-&quot;??_-;_-@_-"/>
  </numFmts>
  <fonts count="6" x14ac:knownFonts="1">
    <font>
      <sz val="11"/>
      <color theme="1"/>
      <name val="Calibri"/>
      <family val="2"/>
      <charset val="1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1F1F1F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14" fontId="3" fillId="3" borderId="4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5" fontId="2" fillId="0" borderId="4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15" fontId="2" fillId="0" borderId="0" xfId="0" applyNumberFormat="1" applyFont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"/>
  <sheetViews>
    <sheetView tabSelected="1" workbookViewId="0">
      <selection activeCell="K7" sqref="K7"/>
    </sheetView>
  </sheetViews>
  <sheetFormatPr defaultRowHeight="13.8" x14ac:dyDescent="0.3"/>
  <cols>
    <col min="1" max="1" width="8.88671875" style="1"/>
    <col min="2" max="2" width="11.6640625" style="1" customWidth="1"/>
    <col min="3" max="3" width="11" style="1" customWidth="1"/>
    <col min="4" max="4" width="16.6640625" style="1" customWidth="1"/>
    <col min="5" max="5" width="26.44140625" style="1" customWidth="1"/>
    <col min="6" max="6" width="16.5546875" style="1" customWidth="1"/>
    <col min="7" max="7" width="14.21875" style="1" customWidth="1"/>
    <col min="8" max="8" width="20.6640625" style="1" customWidth="1"/>
    <col min="9" max="9" width="29.33203125" style="1" customWidth="1"/>
    <col min="10" max="10" width="24.77734375" style="1" bestFit="1" customWidth="1"/>
    <col min="11" max="11" width="20.5546875" style="1" bestFit="1" customWidth="1"/>
    <col min="12" max="12" width="17.88671875" style="1" customWidth="1"/>
    <col min="13" max="13" width="36.5546875" style="1" customWidth="1"/>
    <col min="14" max="14" width="21.77734375" style="1" customWidth="1"/>
    <col min="15" max="15" width="20.77734375" style="1" customWidth="1"/>
    <col min="16" max="16" width="16.88671875" style="1" customWidth="1"/>
    <col min="17" max="17" width="17.44140625" style="1" customWidth="1"/>
    <col min="18" max="18" width="19" style="1" bestFit="1" customWidth="1"/>
    <col min="19" max="19" width="22.21875" style="1" customWidth="1"/>
    <col min="20" max="20" width="19" style="1" customWidth="1"/>
    <col min="21" max="21" width="17.77734375" style="1" customWidth="1"/>
    <col min="22" max="22" width="19.33203125" style="1" customWidth="1"/>
    <col min="23" max="23" width="21.44140625" style="1" customWidth="1"/>
    <col min="24" max="24" width="20.33203125" style="1" customWidth="1"/>
    <col min="25" max="25" width="18.5546875" style="1" customWidth="1"/>
    <col min="26" max="26" width="29" style="1" customWidth="1"/>
    <col min="27" max="27" width="18.44140625" style="1" bestFit="1" customWidth="1"/>
    <col min="28" max="28" width="16.44140625" style="1" customWidth="1"/>
    <col min="29" max="29" width="16.5546875" style="1" bestFit="1" customWidth="1"/>
    <col min="30" max="16384" width="8.88671875" style="1"/>
  </cols>
  <sheetData>
    <row r="1" spans="1:29" ht="23.4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4"/>
    </row>
    <row r="2" spans="1:29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</row>
    <row r="3" spans="1:29" ht="14.4" x14ac:dyDescent="0.3">
      <c r="A3" s="10">
        <v>1</v>
      </c>
      <c r="B3" s="10" t="s">
        <v>40</v>
      </c>
      <c r="C3" s="10" t="s">
        <v>41</v>
      </c>
      <c r="D3" s="4" t="s">
        <v>69</v>
      </c>
      <c r="E3" s="10" t="s">
        <v>49</v>
      </c>
      <c r="F3" s="10">
        <v>4000987699</v>
      </c>
      <c r="G3" s="10" t="s">
        <v>53</v>
      </c>
      <c r="H3" s="10" t="s">
        <v>57</v>
      </c>
      <c r="I3" s="4" t="s">
        <v>75</v>
      </c>
      <c r="J3" s="5" t="s">
        <v>30</v>
      </c>
      <c r="K3" s="10" t="s">
        <v>63</v>
      </c>
      <c r="L3" s="4" t="s">
        <v>31</v>
      </c>
      <c r="M3" s="4" t="s">
        <v>78</v>
      </c>
      <c r="N3" s="4"/>
      <c r="O3" s="6">
        <v>46111</v>
      </c>
      <c r="P3" s="6">
        <v>46112</v>
      </c>
      <c r="Q3" s="6">
        <v>46113</v>
      </c>
      <c r="R3" s="6"/>
      <c r="S3" s="6"/>
      <c r="T3" s="4"/>
      <c r="U3" s="6"/>
      <c r="V3" s="6"/>
      <c r="W3" s="6"/>
      <c r="X3" s="4"/>
      <c r="Y3" s="7"/>
      <c r="Z3" s="6"/>
      <c r="AA3" s="6"/>
      <c r="AB3" s="8">
        <f ca="1">TODAY()</f>
        <v>46114</v>
      </c>
      <c r="AC3" s="4">
        <f ca="1">AB3-Q3</f>
        <v>1</v>
      </c>
    </row>
    <row r="4" spans="1:29" ht="14.4" x14ac:dyDescent="0.3">
      <c r="A4" s="10">
        <v>2</v>
      </c>
      <c r="B4" s="10" t="s">
        <v>42</v>
      </c>
      <c r="C4" s="10" t="s">
        <v>43</v>
      </c>
      <c r="D4" s="4" t="s">
        <v>71</v>
      </c>
      <c r="E4" s="10" t="s">
        <v>50</v>
      </c>
      <c r="F4" s="10">
        <v>4000095534</v>
      </c>
      <c r="G4" s="10" t="s">
        <v>54</v>
      </c>
      <c r="H4" s="10" t="s">
        <v>58</v>
      </c>
      <c r="I4" s="4" t="s">
        <v>75</v>
      </c>
      <c r="J4" s="5" t="s">
        <v>30</v>
      </c>
      <c r="K4" s="10" t="s">
        <v>64</v>
      </c>
      <c r="L4" s="4" t="s">
        <v>31</v>
      </c>
      <c r="M4" s="4" t="s">
        <v>78</v>
      </c>
      <c r="N4" s="4"/>
      <c r="O4" s="6">
        <v>46112</v>
      </c>
      <c r="P4" s="6">
        <v>46112</v>
      </c>
      <c r="Q4" s="6">
        <v>46113</v>
      </c>
      <c r="R4" s="6"/>
      <c r="S4" s="6"/>
      <c r="T4" s="4"/>
      <c r="U4" s="6"/>
      <c r="V4" s="6"/>
      <c r="W4" s="6"/>
      <c r="X4" s="4"/>
      <c r="Y4" s="4"/>
      <c r="Z4" s="6"/>
      <c r="AA4" s="6"/>
      <c r="AB4" s="8">
        <f t="shared" ref="AB4:AB8" ca="1" si="0">TODAY()</f>
        <v>46114</v>
      </c>
      <c r="AC4" s="4">
        <f ca="1">AB4-O4</f>
        <v>2</v>
      </c>
    </row>
    <row r="5" spans="1:29" ht="14.4" x14ac:dyDescent="0.3">
      <c r="A5" s="10">
        <v>3</v>
      </c>
      <c r="B5" s="10" t="s">
        <v>32</v>
      </c>
      <c r="C5" s="10" t="s">
        <v>44</v>
      </c>
      <c r="D5" s="4" t="s">
        <v>70</v>
      </c>
      <c r="E5" s="10" t="s">
        <v>33</v>
      </c>
      <c r="F5" s="10">
        <v>4000076589</v>
      </c>
      <c r="G5" s="10" t="s">
        <v>34</v>
      </c>
      <c r="H5" s="10" t="s">
        <v>59</v>
      </c>
      <c r="I5" s="4" t="s">
        <v>76</v>
      </c>
      <c r="J5" s="4" t="s">
        <v>30</v>
      </c>
      <c r="K5" s="10" t="s">
        <v>65</v>
      </c>
      <c r="L5" s="4" t="s">
        <v>31</v>
      </c>
      <c r="M5" s="4" t="s">
        <v>79</v>
      </c>
      <c r="N5" s="4"/>
      <c r="O5" s="6">
        <v>46111</v>
      </c>
      <c r="P5" s="6">
        <v>46112</v>
      </c>
      <c r="Q5" s="6">
        <v>46112</v>
      </c>
      <c r="R5" s="6"/>
      <c r="S5" s="6"/>
      <c r="T5" s="4"/>
      <c r="U5" s="6"/>
      <c r="V5" s="6"/>
      <c r="W5" s="6"/>
      <c r="X5" s="4"/>
      <c r="Y5" s="4"/>
      <c r="Z5" s="4"/>
      <c r="AA5" s="4"/>
      <c r="AB5" s="8">
        <f t="shared" ca="1" si="0"/>
        <v>46114</v>
      </c>
      <c r="AC5" s="4">
        <f ca="1">AB5-O5</f>
        <v>3</v>
      </c>
    </row>
    <row r="6" spans="1:29" ht="14.4" x14ac:dyDescent="0.3">
      <c r="A6" s="10">
        <v>4</v>
      </c>
      <c r="B6" s="10" t="s">
        <v>35</v>
      </c>
      <c r="C6" s="10" t="s">
        <v>36</v>
      </c>
      <c r="D6" s="4" t="s">
        <v>72</v>
      </c>
      <c r="E6" s="10" t="s">
        <v>37</v>
      </c>
      <c r="F6" s="10">
        <v>4001062961</v>
      </c>
      <c r="G6" s="10" t="s">
        <v>38</v>
      </c>
      <c r="H6" s="10" t="s">
        <v>60</v>
      </c>
      <c r="I6" s="4" t="s">
        <v>75</v>
      </c>
      <c r="J6" s="4" t="s">
        <v>30</v>
      </c>
      <c r="K6" s="10" t="s">
        <v>66</v>
      </c>
      <c r="L6" s="4" t="s">
        <v>31</v>
      </c>
      <c r="M6" s="4" t="s">
        <v>78</v>
      </c>
      <c r="N6" s="4"/>
      <c r="O6" s="6">
        <v>46111</v>
      </c>
      <c r="P6" s="6">
        <v>46112</v>
      </c>
      <c r="Q6" s="6">
        <v>46112</v>
      </c>
      <c r="R6" s="6"/>
      <c r="S6" s="6"/>
      <c r="T6" s="4"/>
      <c r="U6" s="6"/>
      <c r="V6" s="6"/>
      <c r="W6" s="6"/>
      <c r="X6" s="4"/>
      <c r="Y6" s="4"/>
      <c r="Z6" s="4"/>
      <c r="AA6" s="4"/>
      <c r="AB6" s="8">
        <f t="shared" ca="1" si="0"/>
        <v>46114</v>
      </c>
      <c r="AC6" s="4">
        <f ca="1">AB6-O6</f>
        <v>3</v>
      </c>
    </row>
    <row r="7" spans="1:29" ht="14.4" x14ac:dyDescent="0.3">
      <c r="A7" s="10">
        <v>5</v>
      </c>
      <c r="B7" s="10" t="s">
        <v>45</v>
      </c>
      <c r="C7" s="10" t="s">
        <v>46</v>
      </c>
      <c r="D7" s="4" t="s">
        <v>73</v>
      </c>
      <c r="E7" s="10" t="s">
        <v>51</v>
      </c>
      <c r="F7" s="10">
        <v>4006823449</v>
      </c>
      <c r="G7" s="10" t="s">
        <v>55</v>
      </c>
      <c r="H7" s="10" t="s">
        <v>61</v>
      </c>
      <c r="I7" s="4" t="s">
        <v>77</v>
      </c>
      <c r="J7" s="4" t="s">
        <v>30</v>
      </c>
      <c r="K7" s="11" t="s">
        <v>67</v>
      </c>
      <c r="L7" s="4" t="s">
        <v>31</v>
      </c>
      <c r="M7" s="4" t="s">
        <v>79</v>
      </c>
      <c r="N7" s="4"/>
      <c r="O7" s="6">
        <v>46111</v>
      </c>
      <c r="P7" s="6">
        <v>46112</v>
      </c>
      <c r="Q7" s="6">
        <v>46112</v>
      </c>
      <c r="R7" s="4"/>
      <c r="S7" s="4"/>
      <c r="T7" s="4"/>
      <c r="U7" s="4"/>
      <c r="V7" s="4"/>
      <c r="W7" s="4"/>
      <c r="X7" s="4"/>
      <c r="Y7" s="4"/>
      <c r="Z7" s="4"/>
      <c r="AA7" s="4"/>
      <c r="AB7" s="8">
        <f t="shared" ca="1" si="0"/>
        <v>46114</v>
      </c>
      <c r="AC7" s="4">
        <f ca="1">AB7-O7</f>
        <v>3</v>
      </c>
    </row>
    <row r="8" spans="1:29" ht="14.4" x14ac:dyDescent="0.3">
      <c r="A8" s="10">
        <v>6</v>
      </c>
      <c r="B8" s="10" t="s">
        <v>47</v>
      </c>
      <c r="C8" s="10" t="s">
        <v>48</v>
      </c>
      <c r="D8" s="4" t="s">
        <v>74</v>
      </c>
      <c r="E8" s="10" t="s">
        <v>52</v>
      </c>
      <c r="F8" s="10">
        <v>4000402264</v>
      </c>
      <c r="G8" s="10" t="s">
        <v>56</v>
      </c>
      <c r="H8" s="10" t="s">
        <v>62</v>
      </c>
      <c r="I8" s="4" t="s">
        <v>75</v>
      </c>
      <c r="J8" s="4" t="s">
        <v>30</v>
      </c>
      <c r="K8" s="10" t="s">
        <v>68</v>
      </c>
      <c r="L8" s="4" t="s">
        <v>31</v>
      </c>
      <c r="M8" s="4" t="s">
        <v>78</v>
      </c>
      <c r="N8" s="4"/>
      <c r="O8" s="6">
        <v>46111</v>
      </c>
      <c r="P8" s="6">
        <v>46112</v>
      </c>
      <c r="Q8" s="6">
        <v>46112</v>
      </c>
      <c r="R8" s="4"/>
      <c r="S8" s="4"/>
      <c r="T8" s="4"/>
      <c r="U8" s="4"/>
      <c r="V8" s="4"/>
      <c r="W8" s="4"/>
      <c r="X8" s="4"/>
      <c r="Y8" s="4"/>
      <c r="Z8" s="4"/>
      <c r="AA8" s="4"/>
      <c r="AB8" s="8">
        <f t="shared" ca="1" si="0"/>
        <v>46114</v>
      </c>
      <c r="AC8" s="4">
        <f ca="1">AB8-O8</f>
        <v>3</v>
      </c>
    </row>
    <row r="10" spans="1:29" x14ac:dyDescent="0.3">
      <c r="I10" s="1" t="s">
        <v>39</v>
      </c>
      <c r="O10" s="9"/>
      <c r="P10" s="9"/>
    </row>
  </sheetData>
  <mergeCells count="1">
    <mergeCell ref="A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2026-04-01T14:40:49Z</dcterms:created>
  <dcterms:modified xsi:type="dcterms:W3CDTF">2026-04-02T07:01:49Z</dcterms:modified>
</cp:coreProperties>
</file>